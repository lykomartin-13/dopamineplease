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pivotCache/pivotCacheDefinition8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9b2e902497b71e0/Documentos/CoderHouse/DATA/EXCEL/"/>
    </mc:Choice>
  </mc:AlternateContent>
  <xr:revisionPtr revIDLastSave="1147" documentId="8_{2E41A04D-4104-4418-B79F-82E76F33ADFA}" xr6:coauthVersionLast="47" xr6:coauthVersionMax="47" xr10:uidLastSave="{DE719793-7909-4DC9-9D05-61CA40F02850}"/>
  <bookViews>
    <workbookView xWindow="-120" yWindow="-120" windowWidth="38640" windowHeight="21840" firstSheet="4" activeTab="4" xr2:uid="{67D50D05-8F9D-4494-9F06-9100DC67AA7F}"/>
  </bookViews>
  <sheets>
    <sheet name="EstadisticaDescriptiva" sheetId="4" state="hidden" r:id="rId1"/>
    <sheet name="ResumenEscenarios" sheetId="6" state="hidden" r:id="rId2"/>
    <sheet name="DiagnosticoEscenarios" sheetId="5" state="hidden" r:id="rId3"/>
    <sheet name="Auxiliar" sheetId="3" state="hidden" r:id="rId4"/>
    <sheet name="Dashboard Final" sheetId="7" r:id="rId5"/>
    <sheet name="AnalisisIA" sheetId="17" r:id="rId6"/>
    <sheet name="Auxiliar2" sheetId="10" state="hidden" r:id="rId7"/>
    <sheet name="TD" sheetId="12" state="hidden" r:id="rId8"/>
    <sheet name="TD2" sheetId="13" state="hidden" r:id="rId9"/>
    <sheet name="TD3" sheetId="14" state="hidden" r:id="rId10"/>
    <sheet name="TD4" sheetId="15" state="hidden" r:id="rId11"/>
    <sheet name="Hoja2" sheetId="16" state="hidden" r:id="rId12"/>
    <sheet name="Medidas" sheetId="9" state="hidden" r:id="rId13"/>
  </sheets>
  <definedNames>
    <definedName name="_xlchart.v1.0" hidden="1">Hoja2!$F$4:$F$10</definedName>
    <definedName name="_xlchart.v1.1" hidden="1">Hoja2!$H$3</definedName>
    <definedName name="_xlchart.v1.2" hidden="1">Hoja2!$H$4:$H$10</definedName>
    <definedName name="_xlchart.v1.3" hidden="1">Hoja2!$F$4:$F$10</definedName>
    <definedName name="_xlchart.v1.4" hidden="1">Hoja2!$H$3</definedName>
    <definedName name="_xlchart.v1.5" hidden="1">Hoja2!$H$4:$H$10</definedName>
    <definedName name="_xlchart.v1.6" hidden="1">Hoja2!$F$4:$F$10</definedName>
    <definedName name="_xlchart.v1.7" hidden="1">Hoja2!$H$3</definedName>
    <definedName name="_xlchart.v1.8" hidden="1">Hoja2!$H$4:$H$10</definedName>
    <definedName name="_xlcn.WorksheetConnection_PreEntrega_ModeloBI_LykoMartin.xlsxMedidas1" hidden="1">Medidas[]</definedName>
    <definedName name="CantidadOperaciones">Auxiliar2!$E$4</definedName>
    <definedName name="Costototal">ThVentas[[#Totals],[Costo Total2]]</definedName>
    <definedName name="DatosExternos_1" localSheetId="3" hidden="1">Auxiliar!$A$1:$R$114</definedName>
    <definedName name="MargenPorcentual">Auxiliar2!$D$4</definedName>
    <definedName name="SegmentaciónDeDatos_Categoría">#N/A</definedName>
    <definedName name="SegmentaciónDeDatos_Región">#N/A</definedName>
    <definedName name="Timeline_Fecha">#N/A</definedName>
    <definedName name="TotalVentas">ThVentas[[#Totals],[Monto venta3]]</definedName>
    <definedName name="VentasTotales">Auxiliar2!$C$4</definedName>
    <definedName name="YoY">Auxiliar2!$B$3</definedName>
  </definedNames>
  <calcPr calcId="191029"/>
  <pivotCaches>
    <pivotCache cacheId="689" r:id="rId14"/>
    <pivotCache cacheId="692" r:id="rId15"/>
    <pivotCache cacheId="695" r:id="rId16"/>
    <pivotCache cacheId="698" r:id="rId17"/>
    <pivotCache cacheId="701" r:id="rId18"/>
    <pivotCache cacheId="808" r:id="rId19"/>
  </pivotCaches>
  <extLst>
    <ext xmlns:x14="http://schemas.microsoft.com/office/spreadsheetml/2009/9/main" uri="{876F7934-8845-4945-9796-88D515C7AA90}">
      <x14:pivotCaches>
        <pivotCache cacheId="687" r:id="rId20"/>
      </x14:pivotCaches>
    </ext>
    <ext xmlns:x14="http://schemas.microsoft.com/office/spreadsheetml/2009/9/main" uri="{BBE1A952-AA13-448e-AADC-164F8A28A991}">
      <x14:slicerCaches>
        <x14:slicerCache r:id="rId21"/>
        <x14:slicerCache r:id="rId2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688" r:id="rId23"/>
      </x15:timelineCachePivotCaches>
    </ext>
    <ext xmlns:x15="http://schemas.microsoft.com/office/spreadsheetml/2010/11/main" uri="{D0CA8CA8-9F24-4464-BF8E-62219DCF47F9}">
      <x15:timelineCacheRefs>
        <x15:timelineCacheRef r:id="rId24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tasOrigen_0d6e397a-0480-4bf7-8678-82895c4166aa" name="VentasOrigen" connection="Consulta - VentasOrigen"/>
          <x15:modelTable id="ThVentas_058b011f-a374-481d-92c2-f2592e2b283d" name="ThVentas" connection="Consulta - ThVentas"/>
          <x15:modelTable id="DimClientes_65ace0c8-9764-47bf-8315-34e987153612" name="DimClientes" connection="Consulta - DimClientes"/>
          <x15:modelTable id="DimProductos_c2672dfc-94b0-4464-bb95-7927de68a2b8" name="DimProductos" connection="Consulta - DimProductos"/>
          <x15:modelTable id="Medidas" name="Medidas" connection="WorksheetConnection_PreEntrega_ModeloBI_LykoMartin.xlsx!Medidas"/>
          <x15:modelTable id="Calendar" name="Calendar" connection="Conexión"/>
        </x15:modelTables>
        <x15:modelRelationships>
          <x15:modelRelationship fromTable="ThVentas" fromColumn="ID Cliente" toTable="DimClientes" toColumn="ID Cliente"/>
          <x15:modelRelationship fromTable="ThVentas" fromColumn="ID Producto" toTable="DimProductos" toColumn="ID Producto"/>
          <x15:modelRelationship fromTable="ThVentas" fromColumn="Fecha" toTable="Calendar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hVentas" columnName="Fecha" columnId="Fecha">
                <x16:calculatedTimeColumn columnName="Fecha (año)" columnId="Fecha (año)" contentType="years" isSelected="1"/>
                <x16:calculatedTimeColumn columnName="Fecha (trimestre)" columnId="Fecha (trimestre)" contentType="quarters" isSelected="0"/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0" i="16" l="1"/>
  <c r="H6" i="16"/>
  <c r="H7" i="16"/>
  <c r="H8" i="16"/>
  <c r="H9" i="16"/>
  <c r="H5" i="16"/>
  <c r="T115" i="3"/>
  <c r="S115" i="3"/>
  <c r="T119" i="3" l="1"/>
  <c r="B5" i="5" l="1"/>
  <c r="B6" i="5" l="1"/>
  <c r="B7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CB4D38-96AB-442B-9955-1BF28ADFAEA7}" name="Conexió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A72FE2FF-8C00-4DC0-9CCD-ECF969DE4260}" name="Consulta - DimClientes" description="Conexión a la consulta 'DimClientes' en el libro." type="100" refreshedVersion="8" minRefreshableVersion="5">
    <extLst>
      <ext xmlns:x15="http://schemas.microsoft.com/office/spreadsheetml/2010/11/main" uri="{DE250136-89BD-433C-8126-D09CA5730AF9}">
        <x15:connection id="1b54ade0-7551-406c-9d96-3f639a5e6b5f"/>
      </ext>
    </extLst>
  </connection>
  <connection id="3" xr16:uid="{221B4F26-223B-4CD1-A03C-1EBE15E07E26}" name="Consulta - DimProductos" description="Conexión a la consulta 'DimProductos' en el libro." type="100" refreshedVersion="8" minRefreshableVersion="5">
    <extLst>
      <ext xmlns:x15="http://schemas.microsoft.com/office/spreadsheetml/2010/11/main" uri="{DE250136-89BD-433C-8126-D09CA5730AF9}">
        <x15:connection id="edc31864-79ed-4023-bea4-3ab2222bf4e1"/>
      </ext>
    </extLst>
  </connection>
  <connection id="4" xr16:uid="{435A92E7-16C6-440F-B0BD-4E889E9924E0}" name="Consulta - ThVentas" description="Conexión a la consulta 'ThVentas' en el libro." type="100" refreshedVersion="8" minRefreshableVersion="5">
    <extLst>
      <ext xmlns:x15="http://schemas.microsoft.com/office/spreadsheetml/2010/11/main" uri="{DE250136-89BD-433C-8126-D09CA5730AF9}">
        <x15:connection id="b16b9437-f8b4-48db-9d7c-f907e31e6490"/>
      </ext>
    </extLst>
  </connection>
  <connection id="5" xr16:uid="{DBB1260C-2EEE-4253-BE68-448EEA35843B}" name="Consulta - VentasOrigen" description="Conexión a la consulta 'VentasOrigen' en el libro." type="100" refreshedVersion="8" minRefreshableVersion="5">
    <extLst>
      <ext xmlns:x15="http://schemas.microsoft.com/office/spreadsheetml/2010/11/main" uri="{DE250136-89BD-433C-8126-D09CA5730AF9}">
        <x15:connection id="291932e3-4f23-4ecf-8797-0fc7faa75e94"/>
      </ext>
    </extLst>
  </connection>
  <connection id="6" xr16:uid="{DE30B0D9-53C6-42FC-8D69-A94495FCD1F9}" keepAlive="1" name="ModelConnection_DatosExternos_1" description="Modelo de datos" type="5" refreshedVersion="8" minRefreshableVersion="5" saveData="1">
    <dbPr connection="Data Model Connection" command="ThVentas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B77004B4-F88C-4557-9408-84FCDE642AA6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945EA654-713B-4360-B6D1-5C1119FBD139}" name="WorksheetConnection_PreEntrega_ModeloBI_LykoMartin.xlsx!Medidas" type="102" refreshedVersion="8" minRefreshableVersion="5">
    <extLst>
      <ext xmlns:x15="http://schemas.microsoft.com/office/spreadsheetml/2010/11/main" uri="{DE250136-89BD-433C-8126-D09CA5730AF9}">
        <x15:connection id="Medidas">
          <x15:rangePr sourceName="_xlcn.WorksheetConnection_PreEntrega_ModeloBI_LykoMartin.xlsxMedidas1"/>
        </x15:connection>
      </ext>
    </extLst>
  </connection>
</connections>
</file>

<file path=xl/sharedStrings.xml><?xml version="1.0" encoding="utf-8"?>
<sst xmlns="http://schemas.openxmlformats.org/spreadsheetml/2006/main" count="1382" uniqueCount="285">
  <si>
    <t>Tasa de costo</t>
  </si>
  <si>
    <t>Precio base</t>
  </si>
  <si>
    <t>ID Venta</t>
  </si>
  <si>
    <t>Fecha</t>
  </si>
  <si>
    <t>ID Cliente</t>
  </si>
  <si>
    <t>Cliente</t>
  </si>
  <si>
    <t>Región</t>
  </si>
  <si>
    <t>ID Producto</t>
  </si>
  <si>
    <t>Producto</t>
  </si>
  <si>
    <t>Categoría</t>
  </si>
  <si>
    <t>Cantidad</t>
  </si>
  <si>
    <t>Precio Unitario</t>
  </si>
  <si>
    <t>Descuento</t>
  </si>
  <si>
    <t>Costo Total</t>
  </si>
  <si>
    <t>V0049</t>
  </si>
  <si>
    <t>C008</t>
  </si>
  <si>
    <t>Río Plata Corp.</t>
  </si>
  <si>
    <t>Corporativo</t>
  </si>
  <si>
    <t>Tucumán</t>
  </si>
  <si>
    <t>P004</t>
  </si>
  <si>
    <t>Mouse Óptico</t>
  </si>
  <si>
    <t>Periféricos</t>
  </si>
  <si>
    <t>V0009</t>
  </si>
  <si>
    <t>C004</t>
  </si>
  <si>
    <t>Delta Comercial</t>
  </si>
  <si>
    <t>PyME</t>
  </si>
  <si>
    <t>Buenos Aires</t>
  </si>
  <si>
    <t>V0044</t>
  </si>
  <si>
    <t>C001</t>
  </si>
  <si>
    <t>Alfa SRL</t>
  </si>
  <si>
    <t>Mendoza</t>
  </si>
  <si>
    <t>P003</t>
  </si>
  <si>
    <t>Teclado Mecánico</t>
  </si>
  <si>
    <t>V0003</t>
  </si>
  <si>
    <t>C010</t>
  </si>
  <si>
    <t>Soluciones Sur</t>
  </si>
  <si>
    <t>Córdoba</t>
  </si>
  <si>
    <t>P005</t>
  </si>
  <si>
    <t>SSD 1TB</t>
  </si>
  <si>
    <t>Componentes</t>
  </si>
  <si>
    <t>V0105</t>
  </si>
  <si>
    <t>P007</t>
  </si>
  <si>
    <t>Licencia Software Pro</t>
  </si>
  <si>
    <t>Software</t>
  </si>
  <si>
    <t>V0072</t>
  </si>
  <si>
    <t>P001</t>
  </si>
  <si>
    <t>Notebook Pro 14</t>
  </si>
  <si>
    <t>Computación</t>
  </si>
  <si>
    <t>V0041</t>
  </si>
  <si>
    <t>Santa Fe</t>
  </si>
  <si>
    <t>P002</t>
  </si>
  <si>
    <t>Monitor Gamer 24</t>
  </si>
  <si>
    <t>V0051</t>
  </si>
  <si>
    <t>C009</t>
  </si>
  <si>
    <t>Mundo Digital</t>
  </si>
  <si>
    <t>Particular</t>
  </si>
  <si>
    <t>P008</t>
  </si>
  <si>
    <t>Servicio de Soporte</t>
  </si>
  <si>
    <t>Servicios</t>
  </si>
  <si>
    <t>V0050</t>
  </si>
  <si>
    <t>C003</t>
  </si>
  <si>
    <t>Gamma Tech</t>
  </si>
  <si>
    <t>V0048</t>
  </si>
  <si>
    <t>V0022</t>
  </si>
  <si>
    <t>V0043</t>
  </si>
  <si>
    <t>C005</t>
  </si>
  <si>
    <t>Epsilon Group</t>
  </si>
  <si>
    <t>V0074</t>
  </si>
  <si>
    <t>C006</t>
  </si>
  <si>
    <t>Nova Sistemas</t>
  </si>
  <si>
    <t>V0082</t>
  </si>
  <si>
    <t>P006</t>
  </si>
  <si>
    <t>Memoria RAM 16GB</t>
  </si>
  <si>
    <t>V0109</t>
  </si>
  <si>
    <t>V0014</t>
  </si>
  <si>
    <t>V0087</t>
  </si>
  <si>
    <t>V0038</t>
  </si>
  <si>
    <t>V0013</t>
  </si>
  <si>
    <t>V0097</t>
  </si>
  <si>
    <t>V0068</t>
  </si>
  <si>
    <t>V0084</t>
  </si>
  <si>
    <t>V0037</t>
  </si>
  <si>
    <t>V0120</t>
  </si>
  <si>
    <t>V0036</t>
  </si>
  <si>
    <t>V0089</t>
  </si>
  <si>
    <t>C002</t>
  </si>
  <si>
    <t>Beta SA</t>
  </si>
  <si>
    <t>V0058</t>
  </si>
  <si>
    <t>V0025</t>
  </si>
  <si>
    <t>V0060</t>
  </si>
  <si>
    <t>V0065</t>
  </si>
  <si>
    <t>V0110</t>
  </si>
  <si>
    <t>V0079</t>
  </si>
  <si>
    <t>V0017</t>
  </si>
  <si>
    <t>V0098</t>
  </si>
  <si>
    <t>V0112</t>
  </si>
  <si>
    <t>V0111</t>
  </si>
  <si>
    <t>V0118</t>
  </si>
  <si>
    <t>V0027</t>
  </si>
  <si>
    <t>V0093</t>
  </si>
  <si>
    <t>V0034</t>
  </si>
  <si>
    <t>V0090</t>
  </si>
  <si>
    <t>V0078</t>
  </si>
  <si>
    <t>V0099</t>
  </si>
  <si>
    <t>V0095</t>
  </si>
  <si>
    <t>V0005</t>
  </si>
  <si>
    <t>C007</t>
  </si>
  <si>
    <t>Andes Digital</t>
  </si>
  <si>
    <t>V0004</t>
  </si>
  <si>
    <t>V0088</t>
  </si>
  <si>
    <t>V0106</t>
  </si>
  <si>
    <t>V0100</t>
  </si>
  <si>
    <t>V0024</t>
  </si>
  <si>
    <t>V0101</t>
  </si>
  <si>
    <t>V0032</t>
  </si>
  <si>
    <t>V0103</t>
  </si>
  <si>
    <t>V0104</t>
  </si>
  <si>
    <t>V0018</t>
  </si>
  <si>
    <t>V0039</t>
  </si>
  <si>
    <t>V0020</t>
  </si>
  <si>
    <t>V0076</t>
  </si>
  <si>
    <t>V0069</t>
  </si>
  <si>
    <t>V0073</t>
  </si>
  <si>
    <t>V0042</t>
  </si>
  <si>
    <t>V0021</t>
  </si>
  <si>
    <t>V0094</t>
  </si>
  <si>
    <t>V0029</t>
  </si>
  <si>
    <t>V0055</t>
  </si>
  <si>
    <t>V0083</t>
  </si>
  <si>
    <t>V0023</t>
  </si>
  <si>
    <t>V0091</t>
  </si>
  <si>
    <t>V0102</t>
  </si>
  <si>
    <t>V0080</t>
  </si>
  <si>
    <t>V0116</t>
  </si>
  <si>
    <t>V0114</t>
  </si>
  <si>
    <t>V0064</t>
  </si>
  <si>
    <t>V0067</t>
  </si>
  <si>
    <t>V0070</t>
  </si>
  <si>
    <t>V0046</t>
  </si>
  <si>
    <t>V0011</t>
  </si>
  <si>
    <t>V0053</t>
  </si>
  <si>
    <t>V0096</t>
  </si>
  <si>
    <t>V0119</t>
  </si>
  <si>
    <t>V0085</t>
  </si>
  <si>
    <t>V0057</t>
  </si>
  <si>
    <t>V0033</t>
  </si>
  <si>
    <t>V0077</t>
  </si>
  <si>
    <t>V0071</t>
  </si>
  <si>
    <t>V0113</t>
  </si>
  <si>
    <t>V0059</t>
  </si>
  <si>
    <t>V0086</t>
  </si>
  <si>
    <t>V0002</t>
  </si>
  <si>
    <t>V0001</t>
  </si>
  <si>
    <t>V0117</t>
  </si>
  <si>
    <t>V0031</t>
  </si>
  <si>
    <t>V0006</t>
  </si>
  <si>
    <t>V0081</t>
  </si>
  <si>
    <t>V0015</t>
  </si>
  <si>
    <t>V0028</t>
  </si>
  <si>
    <t>V0056</t>
  </si>
  <si>
    <t>V0115</t>
  </si>
  <si>
    <t>V0012</t>
  </si>
  <si>
    <t>V0061</t>
  </si>
  <si>
    <t>V0047</t>
  </si>
  <si>
    <t>V0108</t>
  </si>
  <si>
    <t>V0054</t>
  </si>
  <si>
    <t>V0063</t>
  </si>
  <si>
    <t>V0066</t>
  </si>
  <si>
    <t>V0026</t>
  </si>
  <si>
    <t>V0010</t>
  </si>
  <si>
    <t>V0052</t>
  </si>
  <si>
    <t>V0075</t>
  </si>
  <si>
    <t>V0040</t>
  </si>
  <si>
    <t>V0007</t>
  </si>
  <si>
    <t>V0019</t>
  </si>
  <si>
    <t>V0107</t>
  </si>
  <si>
    <t>Columna1</t>
  </si>
  <si>
    <t>Media</t>
  </si>
  <si>
    <t>Error estándar</t>
  </si>
  <si>
    <t>Mediana</t>
  </si>
  <si>
    <t>Moda</t>
  </si>
  <si>
    <t>Desviacion estandar</t>
  </si>
  <si>
    <t>Varianza de la muestra</t>
  </si>
  <si>
    <t>Curtosis</t>
  </si>
  <si>
    <t>Coeficiente de asimetria</t>
  </si>
  <si>
    <t>Rango</t>
  </si>
  <si>
    <t>Minimo</t>
  </si>
  <si>
    <t>Maximo</t>
  </si>
  <si>
    <t>Suma</t>
  </si>
  <si>
    <t>Cuenta</t>
  </si>
  <si>
    <t>Ventas totales</t>
  </si>
  <si>
    <t>Costos totales</t>
  </si>
  <si>
    <t>Margen neto</t>
  </si>
  <si>
    <t>Diagnostico escenarios</t>
  </si>
  <si>
    <t>$B$3</t>
  </si>
  <si>
    <t>$B$5</t>
  </si>
  <si>
    <t>$B$6</t>
  </si>
  <si>
    <t>$B$7</t>
  </si>
  <si>
    <t>Pesimista</t>
  </si>
  <si>
    <t>Base</t>
  </si>
  <si>
    <t xml:space="preserve">
Modificado por Martin Lyko el 1/10/2026</t>
  </si>
  <si>
    <t>Optimista</t>
  </si>
  <si>
    <t>Creado por Martin Lyko el 1/10/2026</t>
  </si>
  <si>
    <t>Resumen del escenario</t>
  </si>
  <si>
    <t>Celdas cambiantes:</t>
  </si>
  <si>
    <t>Valores actuales:</t>
  </si>
  <si>
    <t>Celdas de resultado:</t>
  </si>
  <si>
    <t>Notas: La columna de valores actuales representa los valores de las celdas cambiantes</t>
  </si>
  <si>
    <t>en el momento en que se creó el Informe resumen de escenario. Las celdas cambiantes de</t>
  </si>
  <si>
    <t>cada escenario se muestran en gris.</t>
  </si>
  <si>
    <t>Concepto</t>
  </si>
  <si>
    <t>Medidas</t>
  </si>
  <si>
    <t>CrecimientoYoY</t>
  </si>
  <si>
    <t>MontoTotalVentas</t>
  </si>
  <si>
    <t>Total general</t>
  </si>
  <si>
    <t>Año</t>
  </si>
  <si>
    <t>Suma de Monto Venta</t>
  </si>
  <si>
    <t>Etiquetas de fila</t>
  </si>
  <si>
    <t>abr-2025</t>
  </si>
  <si>
    <t>abr-2026</t>
  </si>
  <si>
    <t>ago-2025</t>
  </si>
  <si>
    <t>ago-2026</t>
  </si>
  <si>
    <t>dic-2025</t>
  </si>
  <si>
    <t>dic-2026</t>
  </si>
  <si>
    <t>ene-2025</t>
  </si>
  <si>
    <t>ene-2026</t>
  </si>
  <si>
    <t>feb-2025</t>
  </si>
  <si>
    <t>feb-2026</t>
  </si>
  <si>
    <t>jul-2025</t>
  </si>
  <si>
    <t>jul-2026</t>
  </si>
  <si>
    <t>jun-2025</t>
  </si>
  <si>
    <t>jun-2026</t>
  </si>
  <si>
    <t>mar-2025</t>
  </si>
  <si>
    <t>mar-2026</t>
  </si>
  <si>
    <t>may-2025</t>
  </si>
  <si>
    <t>may-2026</t>
  </si>
  <si>
    <t>nov-2025</t>
  </si>
  <si>
    <t>nov-2026</t>
  </si>
  <si>
    <t>oct-2025</t>
  </si>
  <si>
    <t>oct-2026</t>
  </si>
  <si>
    <t>sept-2025</t>
  </si>
  <si>
    <t>sept-2026</t>
  </si>
  <si>
    <t>CostosTotales</t>
  </si>
  <si>
    <t>Impacto financiero</t>
  </si>
  <si>
    <t>Tipo de Cliente</t>
  </si>
  <si>
    <t xml:space="preserve"> </t>
  </si>
  <si>
    <t>MargenNeto</t>
  </si>
  <si>
    <t>Margen = Ventas - Costos</t>
  </si>
  <si>
    <t>Monto Venta</t>
  </si>
  <si>
    <t>Costo Total2</t>
  </si>
  <si>
    <t>Monto venta3</t>
  </si>
  <si>
    <t>CantidadOperaciones</t>
  </si>
  <si>
    <t>Fecha (año)</t>
  </si>
  <si>
    <t>Fecha (trimestre)</t>
  </si>
  <si>
    <t>Fecha (índice de meses)</t>
  </si>
  <si>
    <t>Fecha (mes)</t>
  </si>
  <si>
    <t>2025</t>
  </si>
  <si>
    <t>Tri2</t>
  </si>
  <si>
    <t>abr</t>
  </si>
  <si>
    <t>2026</t>
  </si>
  <si>
    <t>Tri3</t>
  </si>
  <si>
    <t>ago</t>
  </si>
  <si>
    <t>Tri1</t>
  </si>
  <si>
    <t>mar</t>
  </si>
  <si>
    <t>jul</t>
  </si>
  <si>
    <t>Tri4</t>
  </si>
  <si>
    <t>nov</t>
  </si>
  <si>
    <t>jun</t>
  </si>
  <si>
    <t>feb</t>
  </si>
  <si>
    <t>may</t>
  </si>
  <si>
    <t>sept</t>
  </si>
  <si>
    <t>ene</t>
  </si>
  <si>
    <t>oct</t>
  </si>
  <si>
    <t>dic</t>
  </si>
  <si>
    <t>Periodo</t>
  </si>
  <si>
    <t>Período</t>
  </si>
  <si>
    <t>Venta mensual</t>
  </si>
  <si>
    <t>Variación para cascada</t>
  </si>
  <si>
    <t>Enero</t>
  </si>
  <si>
    <t>Febrero</t>
  </si>
  <si>
    <t>Marzo</t>
  </si>
  <si>
    <t>Abril</t>
  </si>
  <si>
    <t>Total</t>
  </si>
  <si>
    <t>Mayo</t>
  </si>
  <si>
    <t>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</si>
</sst>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&quot;$&quot;\ #,##0.00"/>
  </numFmts>
  <fonts count="13" x14ac:knownFonts="1">
    <font>
      <sz val="11"/>
      <color theme="1"/>
      <name val="Arial Nova"/>
      <family val="2"/>
    </font>
    <font>
      <i/>
      <sz val="11"/>
      <color theme="1"/>
      <name val="Arial Nova"/>
      <family val="2"/>
    </font>
    <font>
      <b/>
      <i/>
      <sz val="12"/>
      <color theme="1"/>
      <name val="Arial Nova"/>
      <family val="2"/>
    </font>
    <font>
      <b/>
      <sz val="12"/>
      <color indexed="9"/>
      <name val="Arial Nova"/>
      <family val="2"/>
    </font>
    <font>
      <b/>
      <sz val="11"/>
      <color indexed="8"/>
      <name val="Arial Nova"/>
      <family val="2"/>
    </font>
    <font>
      <b/>
      <sz val="11"/>
      <color indexed="18"/>
      <name val="Arial Nova"/>
      <family val="2"/>
    </font>
    <font>
      <sz val="10"/>
      <color indexed="9"/>
      <name val="Arial Nova"/>
      <family val="2"/>
    </font>
    <font>
      <sz val="8"/>
      <color theme="1"/>
      <name val="Arial Nova"/>
      <family val="2"/>
    </font>
    <font>
      <b/>
      <sz val="11"/>
      <color theme="1"/>
      <name val="Arial Nova"/>
      <family val="2"/>
    </font>
    <font>
      <sz val="8"/>
      <name val="Arial Nov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3" xfId="0" applyBorder="1"/>
    <xf numFmtId="0" fontId="1" fillId="0" borderId="4" xfId="0" applyFont="1" applyBorder="1" applyAlignment="1">
      <alignment horizontal="centerContinuous"/>
    </xf>
    <xf numFmtId="2" fontId="0" fillId="0" borderId="0" xfId="0" applyNumberFormat="1"/>
    <xf numFmtId="1" fontId="0" fillId="0" borderId="0" xfId="0" applyNumberFormat="1"/>
    <xf numFmtId="0" fontId="2" fillId="0" borderId="0" xfId="0" applyFont="1"/>
    <xf numFmtId="164" fontId="0" fillId="0" borderId="2" xfId="0" applyNumberFormat="1" applyBorder="1"/>
    <xf numFmtId="0" fontId="3" fillId="2" borderId="4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5" fillId="3" borderId="3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right"/>
    </xf>
    <xf numFmtId="0" fontId="6" fillId="2" borderId="4" xfId="0" applyFont="1" applyFill="1" applyBorder="1" applyAlignment="1">
      <alignment horizontal="right"/>
    </xf>
    <xf numFmtId="9" fontId="0" fillId="4" borderId="0" xfId="0" applyNumberFormat="1" applyFill="1"/>
    <xf numFmtId="0" fontId="7" fillId="0" borderId="0" xfId="0" applyFont="1" applyAlignment="1">
      <alignment vertical="top" wrapText="1"/>
    </xf>
    <xf numFmtId="0" fontId="0" fillId="5" borderId="0" xfId="0" applyFill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8" fillId="5" borderId="0" xfId="0" applyFont="1" applyFill="1"/>
    <xf numFmtId="0" fontId="1" fillId="5" borderId="0" xfId="0" applyFont="1" applyFill="1"/>
    <xf numFmtId="3" fontId="0" fillId="0" borderId="0" xfId="0" applyNumberFormat="1"/>
    <xf numFmtId="164" fontId="8" fillId="0" borderId="0" xfId="0" applyNumberFormat="1" applyFont="1"/>
    <xf numFmtId="0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0" fontId="10" fillId="6" borderId="5" xfId="0" applyFont="1" applyFill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164" fontId="12" fillId="0" borderId="6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127"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67" formatCode="&quot;$&quot;\ #,##0.0"/>
    </dxf>
    <dxf>
      <numFmt numFmtId="164" formatCode="&quot;$&quot;\ #,##0"/>
    </dxf>
    <dxf>
      <numFmt numFmtId="167" formatCode="&quot;$&quot;\ #,##0.0"/>
    </dxf>
    <dxf>
      <numFmt numFmtId="164" formatCode="&quot;$&quot;\ #,##0"/>
    </dxf>
    <dxf>
      <numFmt numFmtId="167" formatCode="&quot;$&quot;\ #,##0.0"/>
    </dxf>
    <dxf>
      <numFmt numFmtId="164" formatCode="&quot;$&quot;\ #,##0"/>
    </dxf>
    <dxf>
      <numFmt numFmtId="167" formatCode="&quot;$&quot;\ #,##0.0"/>
    </dxf>
    <dxf>
      <numFmt numFmtId="164" formatCode="&quot;$&quot;\ #,##0"/>
    </dxf>
    <dxf>
      <numFmt numFmtId="167" formatCode="&quot;$&quot;\ #,##0.0"/>
    </dxf>
    <dxf>
      <numFmt numFmtId="164" formatCode="&quot;$&quot;\ #,##0"/>
    </dxf>
    <dxf>
      <numFmt numFmtId="167" formatCode="&quot;$&quot;\ #,##0.0"/>
    </dxf>
    <dxf>
      <numFmt numFmtId="164" formatCode="&quot;$&quot;\ #,##0"/>
    </dxf>
    <dxf>
      <numFmt numFmtId="167" formatCode="&quot;$&quot;\ #,##0.0"/>
    </dxf>
    <dxf>
      <numFmt numFmtId="164" formatCode="&quot;$&quot;\ #,##0"/>
    </dxf>
    <dxf>
      <numFmt numFmtId="167" formatCode="&quot;$&quot;\ #,##0.0"/>
    </dxf>
    <dxf>
      <numFmt numFmtId="164" formatCode="&quot;$&quot;\ #,##0"/>
    </dxf>
    <dxf>
      <numFmt numFmtId="167" formatCode="&quot;$&quot;\ #,##0.0"/>
    </dxf>
    <dxf>
      <numFmt numFmtId="164" formatCode="&quot;$&quot;\ #,##0"/>
    </dxf>
    <dxf>
      <numFmt numFmtId="167" formatCode="&quot;$&quot;\ #,##0.0"/>
    </dxf>
    <dxf>
      <numFmt numFmtId="164" formatCode="&quot;$&quot;\ #,##0"/>
    </dxf>
    <dxf>
      <numFmt numFmtId="167" formatCode="&quot;$&quot;\ #,##0.0"/>
    </dxf>
    <dxf>
      <numFmt numFmtId="164" formatCode="&quot;$&quot;\ #,##0"/>
    </dxf>
    <dxf>
      <numFmt numFmtId="167" formatCode="&quot;$&quot;\ #,##0.0"/>
    </dxf>
    <dxf>
      <numFmt numFmtId="164" formatCode="&quot;$&quot;\ #,##0"/>
    </dxf>
    <dxf>
      <numFmt numFmtId="167" formatCode="&quot;$&quot;\ #,##0.0"/>
    </dxf>
    <dxf>
      <numFmt numFmtId="164" formatCode="&quot;$&quot;\ #,##0"/>
    </dxf>
    <dxf>
      <numFmt numFmtId="167" formatCode="&quot;$&quot;\ #,##0.0"/>
    </dxf>
    <dxf>
      <numFmt numFmtId="164" formatCode="&quot;$&quot;\ #,##0"/>
    </dxf>
    <dxf>
      <numFmt numFmtId="167" formatCode="&quot;$&quot;\ #,##0.0"/>
    </dxf>
    <dxf>
      <numFmt numFmtId="164" formatCode="&quot;$&quot;\ #,##0"/>
    </dxf>
    <dxf>
      <numFmt numFmtId="167" formatCode="&quot;$&quot;\ #,##0.0"/>
    </dxf>
    <dxf>
      <numFmt numFmtId="164" formatCode="&quot;$&quot;\ #,##0"/>
    </dxf>
    <dxf>
      <numFmt numFmtId="167" formatCode="&quot;$&quot;\ #,##0.0"/>
    </dxf>
    <dxf>
      <numFmt numFmtId="164" formatCode="&quot;$&quot;\ #,##0"/>
    </dxf>
    <dxf>
      <numFmt numFmtId="167" formatCode="&quot;$&quot;\ #,##0.0"/>
    </dxf>
    <dxf>
      <numFmt numFmtId="164" formatCode="&quot;$&quot;\ #,##0"/>
    </dxf>
    <dxf>
      <numFmt numFmtId="167" formatCode="&quot;$&quot;\ #,##0.0"/>
    </dxf>
    <dxf>
      <numFmt numFmtId="164" formatCode="&quot;$&quot;\ #,##0"/>
    </dxf>
    <dxf>
      <numFmt numFmtId="167" formatCode="&quot;$&quot;\ #,##0.0"/>
    </dxf>
    <dxf>
      <numFmt numFmtId="164" formatCode="&quot;$&quot;\ #,##0"/>
    </dxf>
    <dxf>
      <numFmt numFmtId="167" formatCode="&quot;$&quot;\ #,##0.0"/>
    </dxf>
    <dxf>
      <numFmt numFmtId="164" formatCode="&quot;$&quot;\ #,##0"/>
    </dxf>
    <dxf>
      <numFmt numFmtId="167" formatCode="&quot;$&quot;\ #,##0.0"/>
    </dxf>
    <dxf>
      <numFmt numFmtId="164" formatCode="&quot;$&quot;\ #,##0"/>
    </dxf>
    <dxf>
      <numFmt numFmtId="167" formatCode="&quot;$&quot;\ #,##0.0"/>
    </dxf>
    <dxf>
      <numFmt numFmtId="164" formatCode="&quot;$&quot;\ #,##0"/>
    </dxf>
    <dxf>
      <numFmt numFmtId="167" formatCode="&quot;$&quot;\ #,##0.0"/>
    </dxf>
    <dxf>
      <numFmt numFmtId="164" formatCode="&quot;$&quot;\ #,##0"/>
    </dxf>
    <dxf>
      <numFmt numFmtId="167" formatCode="&quot;$&quot;\ #,##0.0"/>
    </dxf>
    <dxf>
      <numFmt numFmtId="164" formatCode="&quot;$&quot;\ #,##0"/>
    </dxf>
    <dxf>
      <numFmt numFmtId="167" formatCode="&quot;$&quot;\ #,##0.0"/>
    </dxf>
    <dxf>
      <numFmt numFmtId="164" formatCode="&quot;$&quot;\ #,##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4" formatCode="&quot;$&quot;\ #,##0"/>
    </dxf>
    <dxf>
      <numFmt numFmtId="164" formatCode="&quot;$&quot;\ #,##0"/>
    </dxf>
    <dxf>
      <numFmt numFmtId="19" formatCode="d/m/yyyy"/>
    </dxf>
    <dxf>
      <numFmt numFmtId="164" formatCode="&quot;$&quot;\ #,##0"/>
    </dxf>
    <dxf>
      <numFmt numFmtId="165" formatCode="&quot;$&quot;\ #,##0.00"/>
    </dxf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4" formatCode="0.00%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  <fill>
        <patternFill patternType="none">
          <fgColor indexed="64"/>
          <bgColor indexed="65"/>
        </patternFill>
      </fill>
      <alignment horizontal="centerContinuous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onnections" Target="connections.xml"/><Relationship Id="rId21" Type="http://schemas.microsoft.com/office/2007/relationships/slicerCache" Target="slicerCaches/slicerCache1.xml"/><Relationship Id="rId34" Type="http://schemas.openxmlformats.org/officeDocument/2006/relationships/customXml" Target="../customXml/item3.xml"/><Relationship Id="rId42" Type="http://schemas.openxmlformats.org/officeDocument/2006/relationships/customXml" Target="../customXml/item11.xml"/><Relationship Id="rId47" Type="http://schemas.openxmlformats.org/officeDocument/2006/relationships/customXml" Target="../customXml/item16.xml"/><Relationship Id="rId50" Type="http://schemas.openxmlformats.org/officeDocument/2006/relationships/customXml" Target="../customXml/item19.xml"/><Relationship Id="rId55" Type="http://schemas.openxmlformats.org/officeDocument/2006/relationships/customXml" Target="../customXml/item24.xml"/><Relationship Id="rId63" Type="http://schemas.openxmlformats.org/officeDocument/2006/relationships/customXml" Target="../customXml/item32.xml"/><Relationship Id="rId68" Type="http://schemas.openxmlformats.org/officeDocument/2006/relationships/customXml" Target="../customXml/item3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9" Type="http://schemas.openxmlformats.org/officeDocument/2006/relationships/powerPivotData" Target="model/item.data"/><Relationship Id="rId11" Type="http://schemas.openxmlformats.org/officeDocument/2006/relationships/worksheet" Target="worksheets/sheet11.xml"/><Relationship Id="rId24" Type="http://schemas.microsoft.com/office/2011/relationships/timelineCache" Target="timelineCaches/timelineCache1.xml"/><Relationship Id="rId32" Type="http://schemas.openxmlformats.org/officeDocument/2006/relationships/customXml" Target="../customXml/item1.xml"/><Relationship Id="rId37" Type="http://schemas.openxmlformats.org/officeDocument/2006/relationships/customXml" Target="../customXml/item6.xml"/><Relationship Id="rId40" Type="http://schemas.openxmlformats.org/officeDocument/2006/relationships/customXml" Target="../customXml/item9.xml"/><Relationship Id="rId45" Type="http://schemas.openxmlformats.org/officeDocument/2006/relationships/customXml" Target="../customXml/item14.xml"/><Relationship Id="rId53" Type="http://schemas.openxmlformats.org/officeDocument/2006/relationships/customXml" Target="../customXml/item22.xml"/><Relationship Id="rId58" Type="http://schemas.openxmlformats.org/officeDocument/2006/relationships/customXml" Target="../customXml/item27.xml"/><Relationship Id="rId66" Type="http://schemas.openxmlformats.org/officeDocument/2006/relationships/customXml" Target="../customXml/item35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30.xml"/><Relationship Id="rId1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.xml"/><Relationship Id="rId22" Type="http://schemas.microsoft.com/office/2007/relationships/slicerCache" Target="slicerCaches/slicerCache2.xml"/><Relationship Id="rId27" Type="http://schemas.openxmlformats.org/officeDocument/2006/relationships/styles" Target="styles.xml"/><Relationship Id="rId30" Type="http://schemas.microsoft.com/office/2017/10/relationships/person" Target="persons/person.xml"/><Relationship Id="rId35" Type="http://schemas.openxmlformats.org/officeDocument/2006/relationships/customXml" Target="../customXml/item4.xml"/><Relationship Id="rId43" Type="http://schemas.openxmlformats.org/officeDocument/2006/relationships/customXml" Target="../customXml/item12.xml"/><Relationship Id="rId48" Type="http://schemas.openxmlformats.org/officeDocument/2006/relationships/customXml" Target="../customXml/item17.xml"/><Relationship Id="rId56" Type="http://schemas.openxmlformats.org/officeDocument/2006/relationships/customXml" Target="../customXml/item25.xml"/><Relationship Id="rId64" Type="http://schemas.openxmlformats.org/officeDocument/2006/relationships/customXml" Target="../customXml/item3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theme" Target="theme/theme1.xml"/><Relationship Id="rId33" Type="http://schemas.openxmlformats.org/officeDocument/2006/relationships/customXml" Target="../customXml/item2.xml"/><Relationship Id="rId38" Type="http://schemas.openxmlformats.org/officeDocument/2006/relationships/customXml" Target="../customXml/item7.xml"/><Relationship Id="rId46" Type="http://schemas.openxmlformats.org/officeDocument/2006/relationships/customXml" Target="../customXml/item15.xml"/><Relationship Id="rId59" Type="http://schemas.openxmlformats.org/officeDocument/2006/relationships/customXml" Target="../customXml/item28.xml"/><Relationship Id="rId67" Type="http://schemas.openxmlformats.org/officeDocument/2006/relationships/customXml" Target="../customXml/item36.xml"/><Relationship Id="rId20" Type="http://schemas.openxmlformats.org/officeDocument/2006/relationships/pivotCacheDefinition" Target="pivotCache/pivotCacheDefinition7.xml"/><Relationship Id="rId41" Type="http://schemas.openxmlformats.org/officeDocument/2006/relationships/customXml" Target="../customXml/item10.xml"/><Relationship Id="rId54" Type="http://schemas.openxmlformats.org/officeDocument/2006/relationships/customXml" Target="../customXml/item23.xml"/><Relationship Id="rId62" Type="http://schemas.openxmlformats.org/officeDocument/2006/relationships/customXml" Target="../customXml/item3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8.xml"/><Relationship Id="rId28" Type="http://schemas.openxmlformats.org/officeDocument/2006/relationships/sharedStrings" Target="sharedStrings.xml"/><Relationship Id="rId36" Type="http://schemas.openxmlformats.org/officeDocument/2006/relationships/customXml" Target="../customXml/item5.xml"/><Relationship Id="rId49" Type="http://schemas.openxmlformats.org/officeDocument/2006/relationships/customXml" Target="../customXml/item18.xml"/><Relationship Id="rId57" Type="http://schemas.openxmlformats.org/officeDocument/2006/relationships/customXml" Target="../customXml/item26.xml"/><Relationship Id="rId10" Type="http://schemas.openxmlformats.org/officeDocument/2006/relationships/worksheet" Target="worksheets/sheet10.xml"/><Relationship Id="rId31" Type="http://schemas.openxmlformats.org/officeDocument/2006/relationships/calcChain" Target="calcChain.xml"/><Relationship Id="rId44" Type="http://schemas.openxmlformats.org/officeDocument/2006/relationships/customXml" Target="../customXml/item13.xml"/><Relationship Id="rId52" Type="http://schemas.openxmlformats.org/officeDocument/2006/relationships/customXml" Target="../customXml/item21.xml"/><Relationship Id="rId60" Type="http://schemas.openxmlformats.org/officeDocument/2006/relationships/customXml" Target="../customXml/item29.xml"/><Relationship Id="rId65" Type="http://schemas.openxmlformats.org/officeDocument/2006/relationships/customXml" Target="../customXml/item3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39" Type="http://schemas.openxmlformats.org/officeDocument/2006/relationships/customXml" Target="../customXml/item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[PreEntrega_ModeloBI_LykoMartin.xlsx]TD!TablaDinámica2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/>
              <a:t>Crecimiento en Ventas</a:t>
            </a:r>
            <a:r>
              <a:rPr lang="en-US" sz="1600" b="1" i="1" baseline="0"/>
              <a:t> 2026 respecto de 2025</a:t>
            </a:r>
            <a:endParaRPr lang="en-US" sz="1600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TD!$A$2:$A$26</c:f>
              <c:strCache>
                <c:ptCount val="24"/>
                <c:pt idx="0">
                  <c:v>abr-2025</c:v>
                </c:pt>
                <c:pt idx="1">
                  <c:v>abr-2026</c:v>
                </c:pt>
                <c:pt idx="2">
                  <c:v>ago-2025</c:v>
                </c:pt>
                <c:pt idx="3">
                  <c:v>ago-2026</c:v>
                </c:pt>
                <c:pt idx="4">
                  <c:v>dic-2025</c:v>
                </c:pt>
                <c:pt idx="5">
                  <c:v>dic-2026</c:v>
                </c:pt>
                <c:pt idx="6">
                  <c:v>ene-2025</c:v>
                </c:pt>
                <c:pt idx="7">
                  <c:v>ene-2026</c:v>
                </c:pt>
                <c:pt idx="8">
                  <c:v>feb-2025</c:v>
                </c:pt>
                <c:pt idx="9">
                  <c:v>feb-2026</c:v>
                </c:pt>
                <c:pt idx="10">
                  <c:v>jul-2025</c:v>
                </c:pt>
                <c:pt idx="11">
                  <c:v>jul-2026</c:v>
                </c:pt>
                <c:pt idx="12">
                  <c:v>jun-2025</c:v>
                </c:pt>
                <c:pt idx="13">
                  <c:v>jun-2026</c:v>
                </c:pt>
                <c:pt idx="14">
                  <c:v>mar-2025</c:v>
                </c:pt>
                <c:pt idx="15">
                  <c:v>mar-2026</c:v>
                </c:pt>
                <c:pt idx="16">
                  <c:v>may-2025</c:v>
                </c:pt>
                <c:pt idx="17">
                  <c:v>may-2026</c:v>
                </c:pt>
                <c:pt idx="18">
                  <c:v>nov-2025</c:v>
                </c:pt>
                <c:pt idx="19">
                  <c:v>nov-2026</c:v>
                </c:pt>
                <c:pt idx="20">
                  <c:v>oct-2025</c:v>
                </c:pt>
                <c:pt idx="21">
                  <c:v>oct-2026</c:v>
                </c:pt>
                <c:pt idx="22">
                  <c:v>sept-2025</c:v>
                </c:pt>
                <c:pt idx="23">
                  <c:v>sept-2026</c:v>
                </c:pt>
              </c:strCache>
            </c:strRef>
          </c:cat>
          <c:val>
            <c:numRef>
              <c:f>TD!$B$2:$B$26</c:f>
              <c:numCache>
                <c:formatCode>#,##0</c:formatCode>
                <c:ptCount val="24"/>
                <c:pt idx="0">
                  <c:v>234770937</c:v>
                </c:pt>
                <c:pt idx="1">
                  <c:v>81252347</c:v>
                </c:pt>
                <c:pt idx="2">
                  <c:v>192128707</c:v>
                </c:pt>
                <c:pt idx="3">
                  <c:v>95808105</c:v>
                </c:pt>
                <c:pt idx="4">
                  <c:v>162849254</c:v>
                </c:pt>
                <c:pt idx="5">
                  <c:v>274773303</c:v>
                </c:pt>
                <c:pt idx="6">
                  <c:v>111076533</c:v>
                </c:pt>
                <c:pt idx="7">
                  <c:v>505370748</c:v>
                </c:pt>
                <c:pt idx="8">
                  <c:v>17370848</c:v>
                </c:pt>
                <c:pt idx="9">
                  <c:v>163828082</c:v>
                </c:pt>
                <c:pt idx="10">
                  <c:v>120718811</c:v>
                </c:pt>
                <c:pt idx="11">
                  <c:v>271888290</c:v>
                </c:pt>
                <c:pt idx="12">
                  <c:v>502249226</c:v>
                </c:pt>
                <c:pt idx="13">
                  <c:v>51421391</c:v>
                </c:pt>
                <c:pt idx="14">
                  <c:v>184400298</c:v>
                </c:pt>
                <c:pt idx="15">
                  <c:v>719615324</c:v>
                </c:pt>
                <c:pt idx="16">
                  <c:v>401860858</c:v>
                </c:pt>
                <c:pt idx="17">
                  <c:v>519816997</c:v>
                </c:pt>
                <c:pt idx="18">
                  <c:v>403051509</c:v>
                </c:pt>
                <c:pt idx="19">
                  <c:v>300454990</c:v>
                </c:pt>
                <c:pt idx="20">
                  <c:v>409442298</c:v>
                </c:pt>
                <c:pt idx="21">
                  <c:v>495782196</c:v>
                </c:pt>
                <c:pt idx="22">
                  <c:v>219952015</c:v>
                </c:pt>
                <c:pt idx="23">
                  <c:v>172164662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1-4F7C-B5F1-6D2B3C9BB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6874752"/>
        <c:axId val="1866721488"/>
      </c:barChart>
      <c:catAx>
        <c:axId val="192687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66721488"/>
        <c:crosses val="autoZero"/>
        <c:auto val="1"/>
        <c:lblAlgn val="ctr"/>
        <c:lblOffset val="100"/>
        <c:noMultiLvlLbl val="0"/>
      </c:catAx>
      <c:valAx>
        <c:axId val="186672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2687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[PreEntrega_ModeloBI_LykoMartin.xlsx]TD2!TablaDinámica3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/>
              <a:t>Tendencia por Categorias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'TD2'!$B$1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'TD2'!$A$2:$A$7</c:f>
              <c:strCache>
                <c:ptCount val="5"/>
                <c:pt idx="0">
                  <c:v>Componentes</c:v>
                </c:pt>
                <c:pt idx="1">
                  <c:v>Computación</c:v>
                </c:pt>
                <c:pt idx="2">
                  <c:v>Periféricos</c:v>
                </c:pt>
                <c:pt idx="3">
                  <c:v>Servicios</c:v>
                </c:pt>
                <c:pt idx="4">
                  <c:v>Software</c:v>
                </c:pt>
              </c:strCache>
            </c:strRef>
          </c:cat>
          <c:val>
            <c:numRef>
              <c:f>'TD2'!$B$2:$B$7</c:f>
              <c:numCache>
                <c:formatCode>General</c:formatCode>
                <c:ptCount val="5"/>
                <c:pt idx="0">
                  <c:v>726407185</c:v>
                </c:pt>
                <c:pt idx="1">
                  <c:v>2981024473</c:v>
                </c:pt>
                <c:pt idx="2">
                  <c:v>1750738338</c:v>
                </c:pt>
                <c:pt idx="3">
                  <c:v>440707877</c:v>
                </c:pt>
                <c:pt idx="4">
                  <c:v>713169856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F-4CB2-B9BB-47F742DF2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404255"/>
        <c:axId val="1866559248"/>
      </c:barChart>
      <c:catAx>
        <c:axId val="64404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66559248"/>
        <c:crosses val="autoZero"/>
        <c:auto val="1"/>
        <c:lblAlgn val="ctr"/>
        <c:lblOffset val="100"/>
        <c:noMultiLvlLbl val="0"/>
      </c:catAx>
      <c:valAx>
        <c:axId val="186655924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440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Aumentos y caidas de ventas 1Q2026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1" i="1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Aumentos y caidas de ventas 1Q2026</a:t>
          </a:r>
        </a:p>
      </cx:txPr>
    </cx:title>
    <cx:plotArea>
      <cx:plotAreaRegion>
        <cx:series layoutId="waterfall" uniqueId="{91D6AF2A-39CD-404F-8BC6-2BE55BC596A1}">
          <cx:tx>
            <cx:txData>
              <cx:f>_xlchart.v1.1</cx:f>
              <cx:v>Variación para cascada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  <cx:legend pos="t" align="ctr" overlay="0"/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15</xdr:row>
      <xdr:rowOff>28575</xdr:rowOff>
    </xdr:from>
    <xdr:to>
      <xdr:col>7</xdr:col>
      <xdr:colOff>123825</xdr:colOff>
      <xdr:row>23</xdr:row>
      <xdr:rowOff>95250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83820B1A-83B5-6F95-B13D-D4BFB2A2DEE5}"/>
            </a:ext>
          </a:extLst>
        </xdr:cNvPr>
        <xdr:cNvSpPr txBox="1"/>
      </xdr:nvSpPr>
      <xdr:spPr>
        <a:xfrm>
          <a:off x="981075" y="2619375"/>
          <a:ext cx="5257800" cy="1514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400" b="1" i="1"/>
            <a:t>El escenario optimista presenta el mayor margen neto debido al incremento del precio o volumen de ventas. El escenario pesimista reduce el resultado del proyecto y permite evaluar la sensibilidad del modelo ante condiciones desfavorables. El proyecto será considerado viable si el escenario base mantiene un margen positivo y suficiente para cubrir los costos operativos.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</xdr:colOff>
      <xdr:row>4</xdr:row>
      <xdr:rowOff>152400</xdr:rowOff>
    </xdr:from>
    <xdr:to>
      <xdr:col>8</xdr:col>
      <xdr:colOff>38100</xdr:colOff>
      <xdr:row>7</xdr:row>
      <xdr:rowOff>66675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F247444D-AEDB-4D56-8DB9-2DC02F55CB98}"/>
            </a:ext>
          </a:extLst>
        </xdr:cNvPr>
        <xdr:cNvSpPr/>
      </xdr:nvSpPr>
      <xdr:spPr>
        <a:xfrm>
          <a:off x="5095875" y="876300"/>
          <a:ext cx="1647825" cy="457200"/>
        </a:xfrm>
        <a:prstGeom prst="roundRect">
          <a:avLst>
            <a:gd name="adj" fmla="val 50000"/>
          </a:avLst>
        </a:prstGeom>
        <a:solidFill>
          <a:srgbClr val="4F81B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r>
            <a:rPr lang="es-A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 </a:t>
          </a:r>
          <a:r>
            <a:rPr lang="es-AR" sz="14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5.745.765.729</a:t>
          </a:r>
          <a:r>
            <a:rPr lang="es-AR" sz="1800">
              <a:effectLst/>
            </a:rPr>
            <a:t> </a:t>
          </a:r>
          <a:endParaRPr lang="es-AR" sz="1800" b="1" i="1"/>
        </a:p>
      </xdr:txBody>
    </xdr:sp>
    <xdr:clientData/>
  </xdr:twoCellAnchor>
  <xdr:twoCellAnchor>
    <xdr:from>
      <xdr:col>0</xdr:col>
      <xdr:colOff>228600</xdr:colOff>
      <xdr:row>1</xdr:row>
      <xdr:rowOff>0</xdr:rowOff>
    </xdr:from>
    <xdr:to>
      <xdr:col>2</xdr:col>
      <xdr:colOff>200025</xdr:colOff>
      <xdr:row>3</xdr:row>
      <xdr:rowOff>95250</xdr:rowOff>
    </xdr:to>
    <xdr:grpSp>
      <xdr:nvGrpSpPr>
        <xdr:cNvPr id="24" name="Grupo 23">
          <a:extLst>
            <a:ext uri="{FF2B5EF4-FFF2-40B4-BE49-F238E27FC236}">
              <a16:creationId xmlns:a16="http://schemas.microsoft.com/office/drawing/2014/main" id="{705AAB56-4EC7-A78E-3F3F-D6CD726BC471}"/>
            </a:ext>
          </a:extLst>
        </xdr:cNvPr>
        <xdr:cNvGrpSpPr/>
      </xdr:nvGrpSpPr>
      <xdr:grpSpPr>
        <a:xfrm>
          <a:off x="228600" y="180975"/>
          <a:ext cx="1647825" cy="457200"/>
          <a:chOff x="228600" y="180975"/>
          <a:chExt cx="1647825" cy="457200"/>
        </a:xfrm>
      </xdr:grpSpPr>
      <xdr:sp macro="" textlink="">
        <xdr:nvSpPr>
          <xdr:cNvPr id="2" name="Rectángulo: esquinas redondeadas 1">
            <a:extLst>
              <a:ext uri="{FF2B5EF4-FFF2-40B4-BE49-F238E27FC236}">
                <a16:creationId xmlns:a16="http://schemas.microsoft.com/office/drawing/2014/main" id="{123D4CFC-B292-920B-5519-8A03BB6F5F1D}"/>
              </a:ext>
            </a:extLst>
          </xdr:cNvPr>
          <xdr:cNvSpPr/>
        </xdr:nvSpPr>
        <xdr:spPr>
          <a:xfrm>
            <a:off x="228600" y="180975"/>
            <a:ext cx="1647825" cy="45720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800" b="1" i="1"/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B1E75A1F-877E-48D5-CBC6-CC9351BD3019}"/>
              </a:ext>
            </a:extLst>
          </xdr:cNvPr>
          <xdr:cNvSpPr txBox="1"/>
        </xdr:nvSpPr>
        <xdr:spPr>
          <a:xfrm>
            <a:off x="390525" y="200025"/>
            <a:ext cx="1257300" cy="361950"/>
          </a:xfrm>
          <a:prstGeom prst="rect">
            <a:avLst/>
          </a:prstGeom>
          <a:solidFill>
            <a:schemeClr val="accen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AR" sz="1400" b="1" i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Ventas Totales</a:t>
            </a:r>
            <a:endParaRPr lang="es-AR" sz="1400" b="1" i="1">
              <a:solidFill>
                <a:schemeClr val="bg1"/>
              </a:solidFill>
              <a:effectLst/>
            </a:endParaRPr>
          </a:p>
          <a:p>
            <a:endParaRPr lang="es-AR" sz="1100"/>
          </a:p>
        </xdr:txBody>
      </xdr:sp>
    </xdr:grpSp>
    <xdr:clientData/>
  </xdr:twoCellAnchor>
  <xdr:twoCellAnchor>
    <xdr:from>
      <xdr:col>8</xdr:col>
      <xdr:colOff>771525</xdr:colOff>
      <xdr:row>1</xdr:row>
      <xdr:rowOff>47625</xdr:rowOff>
    </xdr:from>
    <xdr:to>
      <xdr:col>10</xdr:col>
      <xdr:colOff>742950</xdr:colOff>
      <xdr:row>4</xdr:row>
      <xdr:rowOff>76200</xdr:rowOff>
    </xdr:to>
    <xdr:grpSp>
      <xdr:nvGrpSpPr>
        <xdr:cNvPr id="28" name="Grupo 27">
          <a:extLst>
            <a:ext uri="{FF2B5EF4-FFF2-40B4-BE49-F238E27FC236}">
              <a16:creationId xmlns:a16="http://schemas.microsoft.com/office/drawing/2014/main" id="{852FE50B-79FA-CC1A-723B-B21E50828ABB}"/>
            </a:ext>
          </a:extLst>
        </xdr:cNvPr>
        <xdr:cNvGrpSpPr/>
      </xdr:nvGrpSpPr>
      <xdr:grpSpPr>
        <a:xfrm>
          <a:off x="7477125" y="228600"/>
          <a:ext cx="1647825" cy="571500"/>
          <a:chOff x="5048250" y="228600"/>
          <a:chExt cx="1647825" cy="571500"/>
        </a:xfrm>
      </xdr:grpSpPr>
      <xdr:sp macro="" textlink="">
        <xdr:nvSpPr>
          <xdr:cNvPr id="13" name="Rectángulo: esquinas redondeadas 12">
            <a:extLst>
              <a:ext uri="{FF2B5EF4-FFF2-40B4-BE49-F238E27FC236}">
                <a16:creationId xmlns:a16="http://schemas.microsoft.com/office/drawing/2014/main" id="{F13C66DB-4023-4853-AFB2-29FD1458A3A1}"/>
              </a:ext>
            </a:extLst>
          </xdr:cNvPr>
          <xdr:cNvSpPr/>
        </xdr:nvSpPr>
        <xdr:spPr>
          <a:xfrm>
            <a:off x="5048250" y="228600"/>
            <a:ext cx="1647825" cy="57150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800" b="1" i="1"/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C87A0EE2-1478-3538-F05B-3F53C1CE1825}"/>
              </a:ext>
            </a:extLst>
          </xdr:cNvPr>
          <xdr:cNvSpPr txBox="1"/>
        </xdr:nvSpPr>
        <xdr:spPr>
          <a:xfrm>
            <a:off x="5238750" y="247650"/>
            <a:ext cx="1257300" cy="533400"/>
          </a:xfrm>
          <a:prstGeom prst="rect">
            <a:avLst/>
          </a:prstGeom>
          <a:solidFill>
            <a:schemeClr val="accen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s-AR" sz="1200" b="1" i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Crecimiento</a:t>
            </a:r>
            <a:r>
              <a:rPr lang="es-AR" sz="1400" b="1" i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  YoY</a:t>
            </a:r>
          </a:p>
        </xdr:txBody>
      </xdr:sp>
    </xdr:grpSp>
    <xdr:clientData/>
  </xdr:twoCellAnchor>
  <xdr:twoCellAnchor>
    <xdr:from>
      <xdr:col>6</xdr:col>
      <xdr:colOff>47625</xdr:colOff>
      <xdr:row>1</xdr:row>
      <xdr:rowOff>19050</xdr:rowOff>
    </xdr:from>
    <xdr:to>
      <xdr:col>8</xdr:col>
      <xdr:colOff>19050</xdr:colOff>
      <xdr:row>3</xdr:row>
      <xdr:rowOff>114300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4B51F30A-C286-5C49-AE0E-F43CFD8918D0}"/>
            </a:ext>
          </a:extLst>
        </xdr:cNvPr>
        <xdr:cNvGrpSpPr/>
      </xdr:nvGrpSpPr>
      <xdr:grpSpPr>
        <a:xfrm>
          <a:off x="5076825" y="200025"/>
          <a:ext cx="1647825" cy="457200"/>
          <a:chOff x="2647950" y="200025"/>
          <a:chExt cx="1647825" cy="457200"/>
        </a:xfrm>
      </xdr:grpSpPr>
      <xdr:sp macro="" textlink="">
        <xdr:nvSpPr>
          <xdr:cNvPr id="12" name="Rectángulo: esquinas redondeadas 11">
            <a:extLst>
              <a:ext uri="{FF2B5EF4-FFF2-40B4-BE49-F238E27FC236}">
                <a16:creationId xmlns:a16="http://schemas.microsoft.com/office/drawing/2014/main" id="{14F5E5B7-327B-4CC7-8F9A-FEFBA3829241}"/>
              </a:ext>
            </a:extLst>
          </xdr:cNvPr>
          <xdr:cNvSpPr/>
        </xdr:nvSpPr>
        <xdr:spPr>
          <a:xfrm>
            <a:off x="2647950" y="200025"/>
            <a:ext cx="1647825" cy="45720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800" b="1" i="1"/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DF845FFE-A4BD-B87B-2AAF-B236CEFDE2E0}"/>
              </a:ext>
            </a:extLst>
          </xdr:cNvPr>
          <xdr:cNvSpPr txBox="1"/>
        </xdr:nvSpPr>
        <xdr:spPr>
          <a:xfrm>
            <a:off x="2876550" y="285750"/>
            <a:ext cx="1181100" cy="295275"/>
          </a:xfrm>
          <a:prstGeom prst="rect">
            <a:avLst/>
          </a:prstGeom>
          <a:solidFill>
            <a:schemeClr val="accen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s-AR" sz="1400" b="1" i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Margen Neto</a:t>
            </a:r>
          </a:p>
        </xdr:txBody>
      </xdr:sp>
    </xdr:grpSp>
    <xdr:clientData/>
  </xdr:twoCellAnchor>
  <xdr:twoCellAnchor>
    <xdr:from>
      <xdr:col>0</xdr:col>
      <xdr:colOff>180975</xdr:colOff>
      <xdr:row>4</xdr:row>
      <xdr:rowOff>123825</xdr:rowOff>
    </xdr:from>
    <xdr:to>
      <xdr:col>2</xdr:col>
      <xdr:colOff>466725</xdr:colOff>
      <xdr:row>7</xdr:row>
      <xdr:rowOff>38100</xdr:rowOff>
    </xdr:to>
    <xdr:grpSp>
      <xdr:nvGrpSpPr>
        <xdr:cNvPr id="25" name="Grupo 24">
          <a:extLst>
            <a:ext uri="{FF2B5EF4-FFF2-40B4-BE49-F238E27FC236}">
              <a16:creationId xmlns:a16="http://schemas.microsoft.com/office/drawing/2014/main" id="{6C62C860-45BA-D89D-E63E-E20329426C46}"/>
            </a:ext>
          </a:extLst>
        </xdr:cNvPr>
        <xdr:cNvGrpSpPr/>
      </xdr:nvGrpSpPr>
      <xdr:grpSpPr>
        <a:xfrm>
          <a:off x="180975" y="847725"/>
          <a:ext cx="1962150" cy="457200"/>
          <a:chOff x="219075" y="847725"/>
          <a:chExt cx="1647825" cy="457200"/>
        </a:xfrm>
      </xdr:grpSpPr>
      <xdr:sp macro="" textlink="">
        <xdr:nvSpPr>
          <xdr:cNvPr id="16" name="Rectángulo: esquinas redondeadas 15">
            <a:extLst>
              <a:ext uri="{FF2B5EF4-FFF2-40B4-BE49-F238E27FC236}">
                <a16:creationId xmlns:a16="http://schemas.microsoft.com/office/drawing/2014/main" id="{9B44E2DD-1B32-4DFE-8128-417C527EC183}"/>
              </a:ext>
            </a:extLst>
          </xdr:cNvPr>
          <xdr:cNvSpPr/>
        </xdr:nvSpPr>
        <xdr:spPr>
          <a:xfrm>
            <a:off x="219075" y="847725"/>
            <a:ext cx="1647825" cy="45720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2000" b="1" i="1"/>
          </a:p>
        </xdr:txBody>
      </xdr:sp>
      <xdr:sp macro="" textlink="VentasTotales">
        <xdr:nvSpPr>
          <xdr:cNvPr id="19" name="CuadroTexto 18">
            <a:extLst>
              <a:ext uri="{FF2B5EF4-FFF2-40B4-BE49-F238E27FC236}">
                <a16:creationId xmlns:a16="http://schemas.microsoft.com/office/drawing/2014/main" id="{9813A475-C5D4-4218-B441-B4576C73249B}"/>
              </a:ext>
            </a:extLst>
          </xdr:cNvPr>
          <xdr:cNvSpPr txBox="1"/>
        </xdr:nvSpPr>
        <xdr:spPr>
          <a:xfrm>
            <a:off x="400050" y="876300"/>
            <a:ext cx="1257300" cy="361950"/>
          </a:xfrm>
          <a:prstGeom prst="rect">
            <a:avLst/>
          </a:prstGeom>
          <a:solidFill>
            <a:schemeClr val="accen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fld id="{2199FF9D-7EE3-4156-806D-43499E521442}" type="TxLink">
              <a:rPr lang="en-US" sz="1400" b="1" i="1" u="none" strike="noStrike">
                <a:solidFill>
                  <a:schemeClr val="bg1"/>
                </a:solidFill>
                <a:effectLst/>
                <a:latin typeface="Arial Nova"/>
                <a:ea typeface="+mn-ea"/>
                <a:cs typeface="+mn-cs"/>
              </a:rPr>
              <a:t>$ 6.612.047.729</a:t>
            </a:fld>
            <a:endParaRPr lang="en-US" sz="14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8</xdr:col>
      <xdr:colOff>781050</xdr:colOff>
      <xdr:row>4</xdr:row>
      <xdr:rowOff>142875</xdr:rowOff>
    </xdr:from>
    <xdr:to>
      <xdr:col>10</xdr:col>
      <xdr:colOff>752475</xdr:colOff>
      <xdr:row>7</xdr:row>
      <xdr:rowOff>85725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id="{86CAA2AF-41E0-B01E-08A1-BE4C05FAE658}"/>
            </a:ext>
          </a:extLst>
        </xdr:cNvPr>
        <xdr:cNvGrpSpPr/>
      </xdr:nvGrpSpPr>
      <xdr:grpSpPr>
        <a:xfrm>
          <a:off x="7486650" y="866775"/>
          <a:ext cx="1647825" cy="485775"/>
          <a:chOff x="5057775" y="866775"/>
          <a:chExt cx="1647825" cy="542925"/>
        </a:xfrm>
      </xdr:grpSpPr>
      <xdr:sp macro="" textlink="">
        <xdr:nvSpPr>
          <xdr:cNvPr id="18" name="Rectángulo: esquinas redondeadas 17">
            <a:extLst>
              <a:ext uri="{FF2B5EF4-FFF2-40B4-BE49-F238E27FC236}">
                <a16:creationId xmlns:a16="http://schemas.microsoft.com/office/drawing/2014/main" id="{30BCF12D-4BC7-481D-9522-5A9EE7E1BC13}"/>
              </a:ext>
            </a:extLst>
          </xdr:cNvPr>
          <xdr:cNvSpPr/>
        </xdr:nvSpPr>
        <xdr:spPr>
          <a:xfrm>
            <a:off x="5057775" y="866775"/>
            <a:ext cx="1647825" cy="542925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600" b="1" i="1">
              <a:solidFill>
                <a:schemeClr val="bg1"/>
              </a:solidFill>
            </a:endParaRPr>
          </a:p>
        </xdr:txBody>
      </xdr:sp>
      <xdr:sp macro="" textlink="YoY">
        <xdr:nvSpPr>
          <xdr:cNvPr id="21" name="CuadroTexto 20">
            <a:extLst>
              <a:ext uri="{FF2B5EF4-FFF2-40B4-BE49-F238E27FC236}">
                <a16:creationId xmlns:a16="http://schemas.microsoft.com/office/drawing/2014/main" id="{A9450AA7-7E88-4D25-A054-49AEB778E493}"/>
              </a:ext>
            </a:extLst>
          </xdr:cNvPr>
          <xdr:cNvSpPr txBox="1"/>
        </xdr:nvSpPr>
        <xdr:spPr>
          <a:xfrm>
            <a:off x="5229225" y="904875"/>
            <a:ext cx="1257300" cy="457200"/>
          </a:xfrm>
          <a:prstGeom prst="rect">
            <a:avLst/>
          </a:prstGeom>
          <a:solidFill>
            <a:schemeClr val="accen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C901E329-4E61-4E4B-9C89-F1CC0FCDED13}" type="TxLink">
              <a:rPr lang="en-US" sz="1600" b="1" i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pPr marL="0" indent="0" algn="r"/>
              <a:t>23,39%</a:t>
            </a:fld>
            <a:endParaRPr lang="es-AR" sz="16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0</xdr:col>
      <xdr:colOff>28574</xdr:colOff>
      <xdr:row>8</xdr:row>
      <xdr:rowOff>57150</xdr:rowOff>
    </xdr:from>
    <xdr:to>
      <xdr:col>5</xdr:col>
      <xdr:colOff>628649</xdr:colOff>
      <xdr:row>23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65A34F3-2B9E-4B8F-B963-8436E13B4D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171450</xdr:colOff>
      <xdr:row>8</xdr:row>
      <xdr:rowOff>47625</xdr:rowOff>
    </xdr:from>
    <xdr:to>
      <xdr:col>11</xdr:col>
      <xdr:colOff>552450</xdr:colOff>
      <xdr:row>23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F65CF20-B5B9-4F20-A9B8-4E396969C6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390525</xdr:colOff>
      <xdr:row>39</xdr:row>
      <xdr:rowOff>142875</xdr:rowOff>
    </xdr:from>
    <xdr:to>
      <xdr:col>2</xdr:col>
      <xdr:colOff>590550</xdr:colOff>
      <xdr:row>50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Región">
              <a:extLst>
                <a:ext uri="{FF2B5EF4-FFF2-40B4-BE49-F238E27FC236}">
                  <a16:creationId xmlns:a16="http://schemas.microsoft.com/office/drawing/2014/main" id="{8328A64C-923F-46DE-A6F5-CA50823BFD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ó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0525" y="7200900"/>
              <a:ext cx="1876425" cy="1847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161925</xdr:colOff>
      <xdr:row>5</xdr:row>
      <xdr:rowOff>47625</xdr:rowOff>
    </xdr:from>
    <xdr:to>
      <xdr:col>9</xdr:col>
      <xdr:colOff>495300</xdr:colOff>
      <xdr:row>7</xdr:row>
      <xdr:rowOff>19050</xdr:rowOff>
    </xdr:to>
    <xdr:pic>
      <xdr:nvPicPr>
        <xdr:cNvPr id="20" name="Gráfico 19" descr="Exponential Graph con relleno sólido">
          <a:extLst>
            <a:ext uri="{FF2B5EF4-FFF2-40B4-BE49-F238E27FC236}">
              <a16:creationId xmlns:a16="http://schemas.microsoft.com/office/drawing/2014/main" id="{6A84BDD9-B20E-8A4B-B0C2-8AAFA36AD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705725" y="952500"/>
          <a:ext cx="333375" cy="33337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95251</xdr:colOff>
      <xdr:row>5</xdr:row>
      <xdr:rowOff>57151</xdr:rowOff>
    </xdr:from>
    <xdr:to>
      <xdr:col>6</xdr:col>
      <xdr:colOff>381001</xdr:colOff>
      <xdr:row>6</xdr:row>
      <xdr:rowOff>161926</xdr:rowOff>
    </xdr:to>
    <xdr:pic>
      <xdr:nvPicPr>
        <xdr:cNvPr id="4" name="Gráfico 3" descr="Exponential Graph con relleno sólido">
          <a:extLst>
            <a:ext uri="{FF2B5EF4-FFF2-40B4-BE49-F238E27FC236}">
              <a16:creationId xmlns:a16="http://schemas.microsoft.com/office/drawing/2014/main" id="{54CD6815-C252-43B3-911B-3D8873E05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124451" y="962026"/>
          <a:ext cx="285750" cy="285750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1</xdr:row>
      <xdr:rowOff>28575</xdr:rowOff>
    </xdr:from>
    <xdr:to>
      <xdr:col>5</xdr:col>
      <xdr:colOff>171450</xdr:colOff>
      <xdr:row>3</xdr:row>
      <xdr:rowOff>123825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58746B15-63B8-41ED-ABF2-A1D7EE676F37}"/>
            </a:ext>
          </a:extLst>
        </xdr:cNvPr>
        <xdr:cNvGrpSpPr/>
      </xdr:nvGrpSpPr>
      <xdr:grpSpPr>
        <a:xfrm>
          <a:off x="2714625" y="209550"/>
          <a:ext cx="1647825" cy="457200"/>
          <a:chOff x="228600" y="180975"/>
          <a:chExt cx="1647825" cy="457200"/>
        </a:xfrm>
      </xdr:grpSpPr>
      <xdr:sp macro="" textlink="">
        <xdr:nvSpPr>
          <xdr:cNvPr id="15" name="Rectángulo: esquinas redondeadas 14">
            <a:extLst>
              <a:ext uri="{FF2B5EF4-FFF2-40B4-BE49-F238E27FC236}">
                <a16:creationId xmlns:a16="http://schemas.microsoft.com/office/drawing/2014/main" id="{4F39F50F-5B4B-576E-1B84-D4E8F53CD9DF}"/>
              </a:ext>
            </a:extLst>
          </xdr:cNvPr>
          <xdr:cNvSpPr/>
        </xdr:nvSpPr>
        <xdr:spPr>
          <a:xfrm>
            <a:off x="228600" y="180975"/>
            <a:ext cx="1647825" cy="45720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800" b="1" i="1"/>
          </a:p>
        </xdr:txBody>
      </xdr:sp>
      <xdr:sp macro="" textlink="">
        <xdr:nvSpPr>
          <xdr:cNvPr id="22" name="CuadroTexto 21">
            <a:extLst>
              <a:ext uri="{FF2B5EF4-FFF2-40B4-BE49-F238E27FC236}">
                <a16:creationId xmlns:a16="http://schemas.microsoft.com/office/drawing/2014/main" id="{51E860A6-9C75-74CF-59B2-D32EB3452DCF}"/>
              </a:ext>
            </a:extLst>
          </xdr:cNvPr>
          <xdr:cNvSpPr txBox="1"/>
        </xdr:nvSpPr>
        <xdr:spPr>
          <a:xfrm>
            <a:off x="447675" y="200025"/>
            <a:ext cx="1257300" cy="314325"/>
          </a:xfrm>
          <a:prstGeom prst="rect">
            <a:avLst/>
          </a:prstGeom>
          <a:solidFill>
            <a:schemeClr val="accen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AR" sz="1200" b="1" i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N° </a:t>
            </a:r>
            <a:r>
              <a:rPr lang="es-AR" sz="1200" b="1" i="1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Operaciones</a:t>
            </a:r>
            <a:endParaRPr lang="es-AR" sz="1200" b="1" i="1">
              <a:solidFill>
                <a:schemeClr val="bg1"/>
              </a:solidFill>
              <a:effectLst/>
            </a:endParaRPr>
          </a:p>
          <a:p>
            <a:endParaRPr lang="es-AR" sz="1100"/>
          </a:p>
        </xdr:txBody>
      </xdr:sp>
    </xdr:grpSp>
    <xdr:clientData/>
  </xdr:twoCellAnchor>
  <xdr:twoCellAnchor>
    <xdr:from>
      <xdr:col>3</xdr:col>
      <xdr:colOff>219075</xdr:colOff>
      <xdr:row>4</xdr:row>
      <xdr:rowOff>161925</xdr:rowOff>
    </xdr:from>
    <xdr:to>
      <xdr:col>5</xdr:col>
      <xdr:colOff>190500</xdr:colOff>
      <xdr:row>7</xdr:row>
      <xdr:rowOff>76200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D27336E5-ABFA-4655-9D2F-5B0E69A40EF5}"/>
            </a:ext>
          </a:extLst>
        </xdr:cNvPr>
        <xdr:cNvGrpSpPr/>
      </xdr:nvGrpSpPr>
      <xdr:grpSpPr>
        <a:xfrm>
          <a:off x="2733675" y="885825"/>
          <a:ext cx="1647825" cy="457200"/>
          <a:chOff x="228600" y="180975"/>
          <a:chExt cx="1647825" cy="457200"/>
        </a:xfrm>
      </xdr:grpSpPr>
      <xdr:sp macro="" textlink="">
        <xdr:nvSpPr>
          <xdr:cNvPr id="27" name="Rectángulo: esquinas redondeadas 26">
            <a:extLst>
              <a:ext uri="{FF2B5EF4-FFF2-40B4-BE49-F238E27FC236}">
                <a16:creationId xmlns:a16="http://schemas.microsoft.com/office/drawing/2014/main" id="{F47B6D96-6849-B74E-A541-A67D021ED271}"/>
              </a:ext>
            </a:extLst>
          </xdr:cNvPr>
          <xdr:cNvSpPr/>
        </xdr:nvSpPr>
        <xdr:spPr>
          <a:xfrm>
            <a:off x="228600" y="180975"/>
            <a:ext cx="1647825" cy="45720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800" b="1" i="1"/>
          </a:p>
        </xdr:txBody>
      </xdr:sp>
      <xdr:sp macro="" textlink="CantidadOperaciones">
        <xdr:nvSpPr>
          <xdr:cNvPr id="30" name="CuadroTexto 29">
            <a:extLst>
              <a:ext uri="{FF2B5EF4-FFF2-40B4-BE49-F238E27FC236}">
                <a16:creationId xmlns:a16="http://schemas.microsoft.com/office/drawing/2014/main" id="{AE199C2B-F756-E913-BB82-80BB0A0E05D6}"/>
              </a:ext>
            </a:extLst>
          </xdr:cNvPr>
          <xdr:cNvSpPr txBox="1"/>
        </xdr:nvSpPr>
        <xdr:spPr>
          <a:xfrm>
            <a:off x="390525" y="200025"/>
            <a:ext cx="1257300" cy="361950"/>
          </a:xfrm>
          <a:prstGeom prst="rect">
            <a:avLst/>
          </a:prstGeom>
          <a:solidFill>
            <a:schemeClr val="accen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1EFC67C-5C40-4063-B4B0-C6B9667BE865}" type="TxLink">
              <a:rPr lang="en-US" sz="1600" b="1" i="1" u="none" strike="noStrike">
                <a:solidFill>
                  <a:schemeClr val="bg1"/>
                </a:solidFill>
                <a:latin typeface="Arial Nova"/>
              </a:rPr>
              <a:pPr algn="ctr"/>
              <a:t>113</a:t>
            </a:fld>
            <a:endParaRPr lang="es-AR" sz="1600" b="1" i="1">
              <a:solidFill>
                <a:schemeClr val="bg1"/>
              </a:solidFill>
            </a:endParaRPr>
          </a:p>
        </xdr:txBody>
      </xdr:sp>
    </xdr:grpSp>
    <xdr:clientData/>
  </xdr:twoCellAnchor>
  <xdr:twoCellAnchor editAs="oneCell">
    <xdr:from>
      <xdr:col>0</xdr:col>
      <xdr:colOff>0</xdr:colOff>
      <xdr:row>32</xdr:row>
      <xdr:rowOff>0</xdr:rowOff>
    </xdr:from>
    <xdr:to>
      <xdr:col>11</xdr:col>
      <xdr:colOff>0</xdr:colOff>
      <xdr:row>39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1" name="Fecha">
              <a:extLst>
                <a:ext uri="{FF2B5EF4-FFF2-40B4-BE49-F238E27FC236}">
                  <a16:creationId xmlns:a16="http://schemas.microsoft.com/office/drawing/2014/main" id="{086371C9-5EE2-4A7A-949F-F9FF5C424B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791200"/>
              <a:ext cx="9220200" cy="1266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0</xdr:colOff>
      <xdr:row>39</xdr:row>
      <xdr:rowOff>142875</xdr:rowOff>
    </xdr:from>
    <xdr:to>
      <xdr:col>5</xdr:col>
      <xdr:colOff>95250</xdr:colOff>
      <xdr:row>50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2" name="Categoría">
              <a:extLst>
                <a:ext uri="{FF2B5EF4-FFF2-40B4-BE49-F238E27FC236}">
                  <a16:creationId xmlns:a16="http://schemas.microsoft.com/office/drawing/2014/main" id="{13EC6CF3-BCF2-4D60-A485-99738608D1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4600" y="7200900"/>
              <a:ext cx="1771650" cy="1924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5</xdr:col>
      <xdr:colOff>390525</xdr:colOff>
      <xdr:row>39</xdr:row>
      <xdr:rowOff>142875</xdr:rowOff>
    </xdr:from>
    <xdr:to>
      <xdr:col>10</xdr:col>
      <xdr:colOff>771525</xdr:colOff>
      <xdr:row>54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3" name="Gráfico 32">
              <a:extLst>
                <a:ext uri="{FF2B5EF4-FFF2-40B4-BE49-F238E27FC236}">
                  <a16:creationId xmlns:a16="http://schemas.microsoft.com/office/drawing/2014/main" id="{7BF53D70-5D04-415A-A3A7-818104573C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81525" y="62960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24</xdr:row>
      <xdr:rowOff>0</xdr:rowOff>
    </xdr:from>
    <xdr:to>
      <xdr:col>6</xdr:col>
      <xdr:colOff>0</xdr:colOff>
      <xdr:row>30</xdr:row>
      <xdr:rowOff>0</xdr:rowOff>
    </xdr:to>
    <xdr:sp macro="" textlink="">
      <xdr:nvSpPr>
        <xdr:cNvPr id="34" name="Rectángulo: esquinas redondeadas 33">
          <a:extLst>
            <a:ext uri="{FF2B5EF4-FFF2-40B4-BE49-F238E27FC236}">
              <a16:creationId xmlns:a16="http://schemas.microsoft.com/office/drawing/2014/main" id="{0949F19D-AA9C-8F1F-4CA8-8ED755B6567D}"/>
            </a:ext>
          </a:extLst>
        </xdr:cNvPr>
        <xdr:cNvSpPr/>
      </xdr:nvSpPr>
      <xdr:spPr>
        <a:xfrm>
          <a:off x="0" y="4886325"/>
          <a:ext cx="5029200" cy="10858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/>
            <a:t>"El desempeño de 2026 refleja una clara expansión comercial en la mayoría de los periodos en comparación con 2025, impulsado principalmente por un rendimiento excepcional en marzo y enero. Sin embargo, se observan contracciones puntuales en meses como junio y abril, lo que sugiere la conveniencia de analizar eventos específicos o factores de demanda que afectaron dichos periodos."</a:t>
          </a:r>
          <a:endParaRPr lang="es-AR" sz="1100"/>
        </a:p>
      </xdr:txBody>
    </xdr:sp>
    <xdr:clientData/>
  </xdr:twoCellAnchor>
  <xdr:twoCellAnchor>
    <xdr:from>
      <xdr:col>6</xdr:col>
      <xdr:colOff>552450</xdr:colOff>
      <xdr:row>24</xdr:row>
      <xdr:rowOff>0</xdr:rowOff>
    </xdr:from>
    <xdr:to>
      <xdr:col>11</xdr:col>
      <xdr:colOff>419100</xdr:colOff>
      <xdr:row>30</xdr:row>
      <xdr:rowOff>0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2E2754BF-8C6D-4273-837E-D8F8F49FBAEA}"/>
            </a:ext>
          </a:extLst>
        </xdr:cNvPr>
        <xdr:cNvSpPr/>
      </xdr:nvSpPr>
      <xdr:spPr>
        <a:xfrm>
          <a:off x="5581650" y="4886325"/>
          <a:ext cx="4057650" cy="10858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552450</xdr:colOff>
      <xdr:row>23</xdr:row>
      <xdr:rowOff>180974</xdr:rowOff>
    </xdr:from>
    <xdr:to>
      <xdr:col>13</xdr:col>
      <xdr:colOff>0</xdr:colOff>
      <xdr:row>31</xdr:row>
      <xdr:rowOff>0</xdr:rowOff>
    </xdr:to>
    <xdr:sp macro="" textlink="">
      <xdr:nvSpPr>
        <xdr:cNvPr id="36" name="Rectángulo: esquinas redondeadas 35">
          <a:extLst>
            <a:ext uri="{FF2B5EF4-FFF2-40B4-BE49-F238E27FC236}">
              <a16:creationId xmlns:a16="http://schemas.microsoft.com/office/drawing/2014/main" id="{D918423E-0B8B-4675-A544-16A0C091254D}"/>
            </a:ext>
          </a:extLst>
        </xdr:cNvPr>
        <xdr:cNvSpPr/>
      </xdr:nvSpPr>
      <xdr:spPr>
        <a:xfrm>
          <a:off x="5581650" y="4886324"/>
          <a:ext cx="5314950" cy="126682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"La facturación de la empresa presenta una fuerte concentración en la venta de equipamiento físico, con </a:t>
          </a:r>
          <a:r>
            <a:rPr lang="es-A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Computación</a:t>
          </a:r>
          <a:r>
            <a:rPr lang="es-A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y </a:t>
          </a:r>
          <a:r>
            <a:rPr lang="es-A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Periféricos</a:t>
          </a:r>
          <a:r>
            <a:rPr lang="es-A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liderando ampliamente la participación del volumen comercial. Esta distribución evidencia una baja penetración de productos intangibles o recurrentes, señalando una oportunidad estratégica para impulsar las categorías de </a:t>
          </a:r>
          <a:r>
            <a:rPr lang="es-A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Software</a:t>
          </a:r>
          <a:r>
            <a:rPr lang="es-A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y </a:t>
          </a:r>
          <a:r>
            <a:rPr lang="es-A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Servicios</a:t>
          </a:r>
          <a:r>
            <a:rPr lang="es-A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mediante ofertas vinculadas (</a:t>
          </a:r>
          <a:r>
            <a:rPr lang="es-AR" sz="1100" i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bundling</a:t>
          </a:r>
          <a:r>
            <a:rPr lang="es-A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 que permitan elevar el margen y diversificar las fuentes de ingresos."</a:t>
          </a:r>
          <a:r>
            <a:rPr lang="es-AR"/>
            <a:t> </a:t>
          </a:r>
          <a:endParaRPr lang="es-AR" sz="1100"/>
        </a:p>
      </xdr:txBody>
    </xdr:sp>
    <xdr:clientData/>
  </xdr:twoCellAnchor>
  <xdr:twoCellAnchor>
    <xdr:from>
      <xdr:col>5</xdr:col>
      <xdr:colOff>352424</xdr:colOff>
      <xdr:row>55</xdr:row>
      <xdr:rowOff>123825</xdr:rowOff>
    </xdr:from>
    <xdr:to>
      <xdr:col>11</xdr:col>
      <xdr:colOff>838199</xdr:colOff>
      <xdr:row>64</xdr:row>
      <xdr:rowOff>0</xdr:rowOff>
    </xdr:to>
    <xdr:sp macro="" textlink="">
      <xdr:nvSpPr>
        <xdr:cNvPr id="37" name="Rectángulo: esquinas redondeadas 36">
          <a:extLst>
            <a:ext uri="{FF2B5EF4-FFF2-40B4-BE49-F238E27FC236}">
              <a16:creationId xmlns:a16="http://schemas.microsoft.com/office/drawing/2014/main" id="{B44DDAAA-A149-4499-B709-4772AC8B39E2}"/>
            </a:ext>
          </a:extLst>
        </xdr:cNvPr>
        <xdr:cNvSpPr/>
      </xdr:nvSpPr>
      <xdr:spPr>
        <a:xfrm>
          <a:off x="4543424" y="10620375"/>
          <a:ext cx="5514975" cy="15049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"El gráfico de cascada revela una alta inestabilidad mes a mes durante la primera mitad del año, con fluctuaciones de gran magnitud en los ingresos. Aunque las fuertes contracciones de abril, junio y febrero restaron un volumen considerable de facturación, el excelente desempeño de enero, marzo y mayo compensó las pérdidas, logrando un balance global positivo de </a:t>
          </a:r>
          <a:r>
            <a:rPr lang="es-A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$51,4 millones</a:t>
          </a:r>
          <a:r>
            <a:rPr lang="es-A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al cierre del periodo. Se recomienda implementar mecanismos de previsión y estabilización comercial para suavizar estas variaciones pronunciadas entre meses consecutivos."</a:t>
          </a:r>
          <a:r>
            <a:rPr lang="es-AR"/>
            <a:t> </a:t>
          </a:r>
          <a:endParaRPr lang="es-A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13</xdr:col>
      <xdr:colOff>0</xdr:colOff>
      <xdr:row>33</xdr:row>
      <xdr:rowOff>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558FD663-3C69-10C4-6FCB-EF9E2C285117}"/>
                </a:ext>
              </a:extLst>
            </xdr:cNvPr>
            <xdr:cNvSpPr txBox="1"/>
          </xdr:nvSpPr>
          <xdr:spPr>
            <a:xfrm>
              <a:off x="838200" y="361950"/>
              <a:ext cx="10058400" cy="56102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1. Sobre la Conclusión de Crecimiento Interanual (2026 vs. 2025)</a:t>
              </a:r>
            </a:p>
            <a:p>
              <a:r>
                <a:rPr lang="es-AR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"El desempeño de 2026 refleja una clara expansión comercial en la mayoría de los periodos..."</a:t>
              </a:r>
              <a:endParaRPr lang="es-A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Sesgos y variables no consideradas:</a:t>
              </a:r>
              <a:endParaRPr lang="es-A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lvl="0"/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Efecto de la inflación o tipo de cambio (Impacto Nominal vs. Real):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Las cifras están expresadas en moneda local (pesos). En contextos inflacionarios, un crecimiento en montos nominales de un año a otro (o picos como el de marzo) no necesariamente implica una mayor venta en unidades o volumen real. Si los precios aumentaron un 30% e ingresos un 23,39%, en términos reales la empresa se habría contraído.</a:t>
              </a:r>
            </a:p>
            <a:p>
              <a:pPr lvl="0"/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Sesgo de atribución a "eventos de demanda":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Asumir que las caídas en abril y junio responden a factores externos de demanda o mercado es un riesgo. Las contracciones podrían ser autoinducidas (p. ej., problemas en la cadena de suministro, quiebres de stock, retrasos en facturación o políticas de crédito más restrictivas).</a:t>
              </a:r>
            </a:p>
            <a:p>
              <a:pPr lvl="0"/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Ausencia de contexto operativo o de inventario: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El pico masivo en marzo de 2026 seguido de la caída drástica en abril podría indicar simplemente un traslape de facturación (</a:t>
              </a:r>
              <a:r>
                <a:rPr lang="es-AR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revenue recognition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o la ejecución de una licitación/contrato puntual de gran envergadura, más que un patrón comercial orgánico.</a:t>
              </a:r>
            </a:p>
            <a:p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2. Sobre la Conclusión del Mix de Productos y Categorías</a:t>
              </a:r>
            </a:p>
            <a:p>
              <a:r>
                <a:rPr lang="es-AR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"...evidencia una baja penetración de productos intangibles... señalando una oportunidad estratégica para impulsar las categorías de Software y Servicios..."</a:t>
              </a:r>
              <a:endParaRPr lang="es-A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Sesgos y variables no consideradas:</a:t>
              </a:r>
              <a:endParaRPr lang="es-A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lvl="0"/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Sesgo de "Oportunidad":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Asumir que una baja participación en Software y Servicios es automáticamente una oportunidad desaprovechada ignora la naturaleza del modelo de negocio. Podría ser que la empresa sea un distribuidor puro de hardware (</a:t>
              </a:r>
              <a:r>
                <a:rPr lang="es-AR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wholesaler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donde los márgenes de software o servicios son absorbidos por otros canales o proveedores.</a:t>
              </a:r>
            </a:p>
            <a:p>
              <a:pPr lvl="0"/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Rentabilidad por categoría vs. Volumen de ventas: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El gráfico muestra la </a:t>
              </a:r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tendencia de ventas/facturación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no el margen de ganancia por línea. Una categoría como Computación puede facturar volúmenes astronómicos pero operar con márgenes reducidos (3%-5%), mientras que Servicios podría representar poco volumen pero generar el mayor margen operacional. Concluir sin ver la rentabilidad por categoría es una decisión a ciegas.</a:t>
              </a:r>
            </a:p>
            <a:p>
              <a:pPr lvl="0"/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Relación de dependencia (</a:t>
              </a:r>
              <a:r>
                <a:rPr lang="es-AR" sz="11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Hardware-Driven</a:t>
              </a:r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):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Forzar la venta de Software o Servicios (</a:t>
              </a:r>
              <a:r>
                <a:rPr lang="es-AR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bundling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podría incrementar el precio final del ticket y reducir la competitividad frente a competidores focalizados únicamente en ofrecer el hardware al menor precio posible.</a:t>
              </a:r>
            </a:p>
            <a:p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3. Sobre la Conclusión de Volatilidad y Gráfico de Cascada</a:t>
              </a:r>
            </a:p>
            <a:p>
              <a:r>
                <a:rPr lang="es-AR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"...logrando un balance global positivo de $51,4 millones al cierre del periodo. Se recomienda implementar mecanismos de previsión..."</a:t>
              </a:r>
              <a:endParaRPr lang="es-A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Sesgos y variables no consideradas:</a:t>
              </a:r>
              <a:endParaRPr lang="es-A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lvl="0"/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Interpretación del gráfico de Cascada (</a:t>
              </a:r>
              <a:r>
                <a:rPr lang="es-AR" sz="11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Waterfall</a:t>
              </a:r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):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Un gráfico de cascada mensual muestra </a:t>
              </a:r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variaciones netas intermensuales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</a:t>
              </a:r>
              <a14:m>
                <m:oMath xmlns:m="http://schemas.openxmlformats.org/officeDocument/2006/math">
                  <m:r>
                    <m:rPr>
                      <m:sty m:val="p"/>
                    </m:rPr>
                    <a:rPr lang="es-AR"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Δ</m:t>
                  </m:r>
                </m:oMath>
              </a14:m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), no ganancias o pérdidas operativas acumuladas de la empresa. Un resultado neto positivo de +$51,4M al final del semestre simplemente significa que junio vendió $51,4M más que diciembre de 2025 (o el punto de partida base), no representa necesariamente el beneficio operativo o la caja disponible.</a:t>
              </a:r>
            </a:p>
            <a:p>
              <a:pPr lvl="0"/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Confusión entre estacionalidad e inestabilidad: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Calificar las variaciones como "alta inestabilidad" o "comportamiento errático" puede ser un error si la industria opera con ciclos estacionales predecibles (p. ej., renovación de presupuestos corporativos en Q1/Q3, ciclos lectivos o licitaciones trimestrales).</a:t>
              </a:r>
            </a:p>
            <a:p>
              <a:pPr lvl="0"/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Soluciones operativas simplificadas: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Recomendar "suavizar las variaciones" presupone que el flujo plano de ventas es siempre preferible, cuando en realidades comerciales de hardware de alto valor (B2B/licitaciones), los ingresos suelen registrarse naturalmente en bloques discretos (</a:t>
              </a:r>
              <a:r>
                <a:rPr lang="es-AR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lumpy revenues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).</a:t>
              </a:r>
            </a:p>
            <a:p>
              <a:endParaRPr lang="es-AR" sz="1100"/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558FD663-3C69-10C4-6FCB-EF9E2C285117}"/>
                </a:ext>
              </a:extLst>
            </xdr:cNvPr>
            <xdr:cNvSpPr txBox="1"/>
          </xdr:nvSpPr>
          <xdr:spPr>
            <a:xfrm>
              <a:off x="838200" y="361950"/>
              <a:ext cx="10058400" cy="56102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1. Sobre la Conclusión de Crecimiento Interanual (2026 vs. 2025)</a:t>
              </a:r>
            </a:p>
            <a:p>
              <a:r>
                <a:rPr lang="es-AR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"El desempeño de 2026 refleja una clara expansión comercial en la mayoría de los periodos..."</a:t>
              </a:r>
              <a:endParaRPr lang="es-A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Sesgos y variables no consideradas:</a:t>
              </a:r>
              <a:endParaRPr lang="es-A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lvl="0"/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Efecto de la inflación o tipo de cambio (Impacto Nominal vs. Real):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Las cifras están expresadas en moneda local (pesos). En contextos inflacionarios, un crecimiento en montos nominales de un año a otro (o picos como el de marzo) no necesariamente implica una mayor venta en unidades o volumen real. Si los precios aumentaron un 30% e ingresos un 23,39%, en términos reales la empresa se habría contraído.</a:t>
              </a:r>
            </a:p>
            <a:p>
              <a:pPr lvl="0"/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Sesgo de atribución a "eventos de demanda":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Asumir que las caídas en abril y junio responden a factores externos de demanda o mercado es un riesgo. Las contracciones podrían ser autoinducidas (p. ej., problemas en la cadena de suministro, quiebres de stock, retrasos en facturación o políticas de crédito más restrictivas).</a:t>
              </a:r>
            </a:p>
            <a:p>
              <a:pPr lvl="0"/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Ausencia de contexto operativo o de inventario: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El pico masivo en marzo de 2026 seguido de la caída drástica en abril podría indicar simplemente un traslape de facturación (</a:t>
              </a:r>
              <a:r>
                <a:rPr lang="es-AR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revenue recognition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o la ejecución de una licitación/contrato puntual de gran envergadura, más que un patrón comercial orgánico.</a:t>
              </a:r>
            </a:p>
            <a:p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2. Sobre la Conclusión del Mix de Productos y Categorías</a:t>
              </a:r>
            </a:p>
            <a:p>
              <a:r>
                <a:rPr lang="es-AR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"...evidencia una baja penetración de productos intangibles... señalando una oportunidad estratégica para impulsar las categorías de Software y Servicios..."</a:t>
              </a:r>
              <a:endParaRPr lang="es-A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Sesgos y variables no consideradas:</a:t>
              </a:r>
              <a:endParaRPr lang="es-A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lvl="0"/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Sesgo de "Oportunidad":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Asumir que una baja participación en Software y Servicios es automáticamente una oportunidad desaprovechada ignora la naturaleza del modelo de negocio. Podría ser que la empresa sea un distribuidor puro de hardware (</a:t>
              </a:r>
              <a:r>
                <a:rPr lang="es-AR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wholesaler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donde los márgenes de software o servicios son absorbidos por otros canales o proveedores.</a:t>
              </a:r>
            </a:p>
            <a:p>
              <a:pPr lvl="0"/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Rentabilidad por categoría vs. Volumen de ventas: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El gráfico muestra la </a:t>
              </a:r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tendencia de ventas/facturación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no el margen de ganancia por línea. Una categoría como Computación puede facturar volúmenes astronómicos pero operar con márgenes reducidos (3%-5%), mientras que Servicios podría representar poco volumen pero generar el mayor margen operacional. Concluir sin ver la rentabilidad por categoría es una decisión a ciegas.</a:t>
              </a:r>
            </a:p>
            <a:p>
              <a:pPr lvl="0"/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Relación de dependencia (</a:t>
              </a:r>
              <a:r>
                <a:rPr lang="es-AR" sz="11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Hardware-Driven</a:t>
              </a:r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):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Forzar la venta de Software o Servicios (</a:t>
              </a:r>
              <a:r>
                <a:rPr lang="es-AR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bundling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podría incrementar el precio final del ticket y reducir la competitividad frente a competidores focalizados únicamente en ofrecer el hardware al menor precio posible.</a:t>
              </a:r>
            </a:p>
            <a:p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3. Sobre la Conclusión de Volatilidad y Gráfico de Cascada</a:t>
              </a:r>
            </a:p>
            <a:p>
              <a:r>
                <a:rPr lang="es-AR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"...logrando un balance global positivo de $51,4 millones al cierre del periodo. Se recomienda implementar mecanismos de previsión..."</a:t>
              </a:r>
              <a:endParaRPr lang="es-A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Sesgos y variables no consideradas:</a:t>
              </a:r>
              <a:endParaRPr lang="es-A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lvl="0"/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Interpretación del gráfico de Cascada (</a:t>
              </a:r>
              <a:r>
                <a:rPr lang="es-AR" sz="11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Waterfall</a:t>
              </a:r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):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Un gráfico de cascada mensual muestra </a:t>
              </a:r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variaciones netas intermensuales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</a:t>
              </a:r>
              <a:r>
                <a:rPr lang="es-AR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Δ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), no ganancias o pérdidas operativas acumuladas de la empresa. Un resultado neto positivo de +$51,4M al final del semestre simplemente significa que junio vendió $51,4M más que diciembre de 2025 (o el punto de partida base), no representa necesariamente el beneficio operativo o la caja disponible.</a:t>
              </a:r>
            </a:p>
            <a:p>
              <a:pPr lvl="0"/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Confusión entre estacionalidad e inestabilidad: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Calificar las variaciones como "alta inestabilidad" o "comportamiento errático" puede ser un error si la industria opera con ciclos estacionales predecibles (p. ej., renovación de presupuestos corporativos en Q1/Q3, ciclos lectivos o licitaciones trimestrales).</a:t>
              </a:r>
            </a:p>
            <a:p>
              <a:pPr lvl="0"/>
              <a:r>
                <a:rPr lang="es-A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Soluciones operativas simplificadas: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Recomendar "suavizar las variaciones" presupone que el flujo plano de ventas es siempre preferible, cuando en realidades comerciales de hardware de alto valor (B2B/licitaciones), los ingresos suelen registrarse naturalmente en bloques discretos (</a:t>
              </a:r>
              <a:r>
                <a:rPr lang="es-AR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lumpy revenues</a:t>
              </a:r>
              <a:r>
                <a:rPr lang="es-A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).</a:t>
              </a:r>
            </a:p>
            <a:p>
              <a:endParaRPr lang="es-AR" sz="1100"/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tin Lyko" refreshedDate="46299.62802974537" createdVersion="5" refreshedVersion="8" minRefreshableVersion="3" recordCount="0" supportSubquery="1" supportAdvancedDrill="1" xr:uid="{D86B8D93-8633-4DFC-8565-ABA75BAF4249}">
  <cacheSource type="external" connectionId="7"/>
  <cacheFields count="8">
    <cacheField name="[Measures].[CrecimientoYoY]" caption="CrecimientoYoY" numFmtId="0" hierarchy="57" level="32767"/>
    <cacheField name="[Measures].[MontoTotalVentas]" caption="MontoTotalVentas" numFmtId="0" hierarchy="51" level="32767"/>
    <cacheField name="[Calendar].[Year].[Year]" caption="Year" numFmtId="0" hierarchy="7" level="1">
      <sharedItems containsSemiMixedTypes="0" containsString="0" containsNumber="1" containsInteger="1" minValue="2025" maxValue="2026" count="2"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25]"/>
            <x15:cachedUniqueName index="1" name="[Calendar].[Year].&amp;[2026]"/>
          </x15:cachedUniqueNames>
        </ext>
      </extLst>
    </cacheField>
    <cacheField name="[Measures].[MargenNeto]" caption="MargenNeto" numFmtId="0" hierarchy="53" level="32767"/>
    <cacheField name="[Measures].[CantidadOperaciones]" caption="CantidadOperaciones" numFmtId="0" hierarchy="58" level="32767"/>
    <cacheField name="[ThVentas].[Fecha].[Fecha]" caption="Fecha" numFmtId="0" hierarchy="22" level="1">
      <sharedItems containsSemiMixedTypes="0" containsNonDate="0" containsString="0"/>
    </cacheField>
    <cacheField name="[ThVentas].[Región].[Región]" caption="Región" numFmtId="0" hierarchy="32" level="1">
      <sharedItems containsSemiMixedTypes="0" containsNonDate="0" containsString="0"/>
    </cacheField>
    <cacheField name="[ThVentas].[Categoría].[Categoría]" caption="Categoría" numFmtId="0" hierarchy="18" level="1">
      <sharedItems containsSemiMixedTypes="0" containsNonDate="0" containsString="0"/>
    </cacheField>
  </cacheFields>
  <cacheHierarchies count="6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2"/>
      </fieldsUsage>
    </cacheHierarchy>
    <cacheHierarchy uniqueName="[DimClientes].[Cliente]" caption="Cliente" attribute="1" defaultMemberUniqueName="[DimClientes].[Cliente].[All]" allUniqueName="[DimClientes].[Cliente].[All]" dimensionUniqueName="[DimClientes]" displayFolder="" count="0" memberValueDatatype="130" unbalanced="0"/>
    <cacheHierarchy uniqueName="[DimClientes].[ID Cliente]" caption="ID Cliente" attribute="1" defaultMemberUniqueName="[DimClientes].[ID Cliente].[All]" allUniqueName="[DimClientes].[ID Cliente].[All]" dimensionUniqueName="[DimClientes]" displayFolder="" count="0" memberValueDatatype="130" unbalanced="0"/>
    <cacheHierarchy uniqueName="[DimClientes].[Región]" caption="Región" attribute="1" defaultMemberUniqueName="[DimClientes].[Región].[All]" allUniqueName="[DimClientes].[Región].[All]" dimensionUniqueName="[DimClientes]" displayFolder="" count="0" memberValueDatatype="130" unbalanced="0"/>
    <cacheHierarchy uniqueName="[DimClientes].[Tipo de Cliente]" caption="Tipo de Cliente" attribute="1" defaultMemberUniqueName="[DimClientes].[Tipo de Cliente].[All]" allUniqueName="[DimClientes].[Tipo de Cliente].[All]" dimensionUniqueName="[DimClientes]" displayFolder="" count="0" memberValueDatatype="130" unbalanced="0"/>
    <cacheHierarchy uniqueName="[DimProductos].[Categoría]" caption="Categoría" attribute="1" defaultMemberUniqueName="[DimProductos].[Categoría].[All]" allUniqueName="[DimProductos].[Categoría].[All]" dimensionUniqueName="[DimProductos]" displayFolder="" count="0" memberValueDatatype="130" unbalanced="0"/>
    <cacheHierarchy uniqueName="[DimProductos].[ID Producto]" caption="ID Producto" attribute="1" defaultMemberUniqueName="[DimProductos].[ID Producto].[All]" allUniqueName="[DimProductos].[ID Producto].[All]" dimensionUniqueName="[DimProductos]" displayFolder="" count="0" memberValueDatatype="130" unbalanced="0"/>
    <cacheHierarchy uniqueName="[DimProductos].[Precio Unitario]" caption="Precio Unitario" attribute="1" defaultMemberUniqueName="[DimProductos].[Precio Unitario].[All]" allUniqueName="[DimProductos].[Precio Unitario].[All]" dimensionUniqueName="[DimProductos]" displayFolder="" count="0" memberValueDatatype="5" unbalanced="0"/>
    <cacheHierarchy uniqueName="[DimProductos].[Producto]" caption="Producto" attribute="1" defaultMemberUniqueName="[DimProductos].[Producto].[All]" allUniqueName="[DimProductos].[Producto].[All]" dimensionUniqueName="[DimProductos]" displayFolder="" count="0" memberValueDatatype="130" unbalanced="0"/>
    <cacheHierarchy uniqueName="[Medidas].[Medidas]" caption="Medidas" attribute="1" defaultMemberUniqueName="[Medidas].[Medidas].[All]" allUniqueName="[Medidas].[Medidas].[All]" dimensionUniqueName="[Medidas]" displayFolder="" count="0" memberValueDatatype="130" unbalanced="0"/>
    <cacheHierarchy uniqueName="[ThVentas].[Cantidad]" caption="Cantidad" attribute="1" defaultMemberUniqueName="[ThVentas].[Cantidad].[All]" allUniqueName="[ThVentas].[Cantidad].[All]" dimensionUniqueName="[ThVentas]" displayFolder="" count="0" memberValueDatatype="20" unbalanced="0"/>
    <cacheHierarchy uniqueName="[ThVentas].[Categoría]" caption="Categoría" attribute="1" defaultMemberUniqueName="[ThVentas].[Categoría].[All]" allUniqueName="[ThVentas].[Categoría].[All]" dimensionUniqueName="[ThVentas]" displayFolder="" count="2" memberValueDatatype="130" unbalanced="0">
      <fieldsUsage count="2">
        <fieldUsage x="-1"/>
        <fieldUsage x="7"/>
      </fieldsUsage>
    </cacheHierarchy>
    <cacheHierarchy uniqueName="[ThVentas].[Cliente]" caption="Cliente" attribute="1" defaultMemberUniqueName="[ThVentas].[Cliente].[All]" allUniqueName="[ThVentas].[Cliente].[All]" dimensionUniqueName="[ThVentas]" displayFolder="" count="0" memberValueDatatype="130" unbalanced="0"/>
    <cacheHierarchy uniqueName="[ThVentas].[Costo Total]" caption="Costo Total" attribute="1" defaultMemberUniqueName="[ThVentas].[Costo Total].[All]" allUniqueName="[ThVentas].[Costo Total].[All]" dimensionUniqueName="[ThVentas]" displayFolder="" count="0" memberValueDatatype="5" unbalanced="0"/>
    <cacheHierarchy uniqueName="[ThVentas].[Descuento]" caption="Descuento" attribute="1" defaultMemberUniqueName="[ThVentas].[Descuento].[All]" allUniqueName="[ThVentas].[Descuento].[All]" dimensionUniqueName="[ThVentas]" displayFolder="" count="0" memberValueDatatype="5" unbalanced="0"/>
    <cacheHierarchy uniqueName="[ThVentas].[Fecha]" caption="Fecha" attribute="1" time="1" defaultMemberUniqueName="[ThVentas].[Fecha].[All]" allUniqueName="[ThVentas].[Fecha].[All]" dimensionUniqueName="[ThVentas]" displayFolder="" count="2" memberValueDatatype="7" unbalanced="0">
      <fieldsUsage count="2">
        <fieldUsage x="-1"/>
        <fieldUsage x="5"/>
      </fieldsUsage>
    </cacheHierarchy>
    <cacheHierarchy uniqueName="[ThVentas].[Fecha (año)]" caption="Fecha (año)" attribute="1" defaultMemberUniqueName="[ThVentas].[Fecha (año)].[All]" allUniqueName="[ThVentas].[Fecha (año)].[All]" dimensionUniqueName="[ThVentas]" displayFolder="" count="0" memberValueDatatype="130" unbalanced="0"/>
    <cacheHierarchy uniqueName="[ThVentas].[Fecha (mes)]" caption="Fecha (mes)" attribute="1" defaultMemberUniqueName="[ThVentas].[Fecha (mes)].[All]" allUniqueName="[ThVentas].[Fecha (mes)].[All]" dimensionUniqueName="[ThVentas]" displayFolder="" count="0" memberValueDatatype="130" unbalanced="0"/>
    <cacheHierarchy uniqueName="[ThVentas].[Fecha (trimestre)]" caption="Fecha (trimestre)" attribute="1" defaultMemberUniqueName="[ThVentas].[Fecha (trimestre)].[All]" allUniqueName="[ThVentas].[Fecha (trimestre)].[All]" dimensionUniqueName="[ThVentas]" displayFolder="" count="0" memberValueDatatype="130" unbalanced="0"/>
    <cacheHierarchy uniqueName="[ThVentas].[ID Cliente]" caption="ID Cliente" attribute="1" defaultMemberUniqueName="[ThVentas].[ID Cliente].[All]" allUniqueName="[ThVentas].[ID Cliente].[All]" dimensionUniqueName="[ThVentas]" displayFolder="" count="0" memberValueDatatype="130" unbalanced="0"/>
    <cacheHierarchy uniqueName="[ThVentas].[ID Producto]" caption="ID Producto" attribute="1" defaultMemberUniqueName="[ThVentas].[ID Producto].[All]" allUniqueName="[ThVentas].[ID Producto].[All]" dimensionUniqueName="[ThVentas]" displayFolder="" count="0" memberValueDatatype="130" unbalanced="0"/>
    <cacheHierarchy uniqueName="[ThVentas].[ID Venta]" caption="ID Venta" attribute="1" defaultMemberUniqueName="[ThVentas].[ID Venta].[All]" allUniqueName="[ThVentas].[ID Venta].[All]" dimensionUniqueName="[ThVentas]" displayFolder="" count="0" memberValueDatatype="130" unbalanced="0"/>
    <cacheHierarchy uniqueName="[ThVentas].[Monto Venta]" caption="Monto Venta" attribute="1" defaultMemberUniqueName="[ThVentas].[Monto Venta].[All]" allUniqueName="[ThVentas].[Monto Venta].[All]" dimensionUniqueName="[ThVentas]" displayFolder="" count="0" memberValueDatatype="5" unbalanced="0"/>
    <cacheHierarchy uniqueName="[ThVentas].[Precio Unitario]" caption="Precio Unitario" attribute="1" defaultMemberUniqueName="[ThVentas].[Precio Unitario].[All]" allUniqueName="[ThVentas].[Precio Unitario].[All]" dimensionUniqueName="[ThVentas]" displayFolder="" count="0" memberValueDatatype="5" unbalanced="0"/>
    <cacheHierarchy uniqueName="[ThVentas].[Producto]" caption="Producto" attribute="1" defaultMemberUniqueName="[ThVentas].[Producto].[All]" allUniqueName="[ThVentas].[Producto].[All]" dimensionUniqueName="[ThVentas]" displayFolder="" count="0" memberValueDatatype="130" unbalanced="0"/>
    <cacheHierarchy uniqueName="[ThVentas].[Región]" caption="Región" attribute="1" defaultMemberUniqueName="[ThVentas].[Región].[All]" allUniqueName="[ThVentas].[Región].[All]" dimensionUniqueName="[ThVentas]" displayFolder="" count="2" memberValueDatatype="130" unbalanced="0">
      <fieldsUsage count="2">
        <fieldUsage x="-1"/>
        <fieldUsage x="6"/>
      </fieldsUsage>
    </cacheHierarchy>
    <cacheHierarchy uniqueName="[ThVentas].[Tipo de Cliente]" caption="Tipo de Cliente" attribute="1" defaultMemberUniqueName="[ThVentas].[Tipo de Cliente].[All]" allUniqueName="[ThVentas].[Tipo de Cliente].[All]" dimensionUniqueName="[ThVentas]" displayFolder="" count="0" memberValueDatatype="130" unbalanced="0"/>
    <cacheHierarchy uniqueName="[ThVentas].[Fecha (índice de meses)]" caption="Fecha (índice de meses)" attribute="1" defaultMemberUniqueName="[ThVentas].[Fecha (índice de meses)].[All]" allUniqueName="[ThVentas].[Fecha (índice de meses)].[All]" dimensionUniqueName="[ThVentas]" displayFolder="" count="0" memberValueDatatype="20" unbalanced="0" hidden="1"/>
    <cacheHierarchy uniqueName="[VentasOrigen].[Cantidad]" caption="Cantidad" attribute="1" defaultMemberUniqueName="[VentasOrigen].[Cantidad].[All]" allUniqueName="[VentasOrigen].[Cantidad].[All]" dimensionUniqueName="[VentasOrigen]" displayFolder="" count="0" memberValueDatatype="20" unbalanced="0" hidden="1"/>
    <cacheHierarchy uniqueName="[VentasOrigen].[Categoría]" caption="Categoría" attribute="1" defaultMemberUniqueName="[VentasOrigen].[Categoría].[All]" allUniqueName="[VentasOrigen].[Categoría].[All]" dimensionUniqueName="[VentasOrigen]" displayFolder="" count="0" memberValueDatatype="130" unbalanced="0" hidden="1"/>
    <cacheHierarchy uniqueName="[VentasOrigen].[Cliente]" caption="Cliente" attribute="1" defaultMemberUniqueName="[VentasOrigen].[Cliente].[All]" allUniqueName="[VentasOrigen].[Cliente].[All]" dimensionUniqueName="[VentasOrigen]" displayFolder="" count="0" memberValueDatatype="130" unbalanced="0" hidden="1"/>
    <cacheHierarchy uniqueName="[VentasOrigen].[Costo Total]" caption="Costo Total" attribute="1" defaultMemberUniqueName="[VentasOrigen].[Costo Total].[All]" allUniqueName="[VentasOrigen].[Costo Total].[All]" dimensionUniqueName="[VentasOrigen]" displayFolder="" count="0" memberValueDatatype="5" unbalanced="0" hidden="1"/>
    <cacheHierarchy uniqueName="[VentasOrigen].[Descuento]" caption="Descuento" attribute="1" defaultMemberUniqueName="[VentasOrigen].[Descuento].[All]" allUniqueName="[VentasOrigen].[Descuento].[All]" dimensionUniqueName="[VentasOrigen]" displayFolder="" count="0" memberValueDatatype="5" unbalanced="0" hidden="1"/>
    <cacheHierarchy uniqueName="[VentasOrigen].[Fecha]" caption="Fecha" attribute="1" time="1" defaultMemberUniqueName="[VentasOrigen].[Fecha].[All]" allUniqueName="[VentasOrigen].[Fecha].[All]" dimensionUniqueName="[VentasOrigen]" displayFolder="" count="0" memberValueDatatype="7" unbalanced="0" hidden="1"/>
    <cacheHierarchy uniqueName="[VentasOrigen].[ID Cliente]" caption="ID Cliente" attribute="1" defaultMemberUniqueName="[VentasOrigen].[ID Cliente].[All]" allUniqueName="[VentasOrigen].[ID Cliente].[All]" dimensionUniqueName="[VentasOrigen]" displayFolder="" count="0" memberValueDatatype="130" unbalanced="0" hidden="1"/>
    <cacheHierarchy uniqueName="[VentasOrigen].[ID Producto]" caption="ID Producto" attribute="1" defaultMemberUniqueName="[VentasOrigen].[ID Producto].[All]" allUniqueName="[VentasOrigen].[ID Producto].[All]" dimensionUniqueName="[VentasOrigen]" displayFolder="" count="0" memberValueDatatype="130" unbalanced="0" hidden="1"/>
    <cacheHierarchy uniqueName="[VentasOrigen].[ID Venta]" caption="ID Venta" attribute="1" defaultMemberUniqueName="[VentasOrigen].[ID Venta].[All]" allUniqueName="[VentasOrigen].[ID Venta].[All]" dimensionUniqueName="[VentasOrigen]" displayFolder="" count="0" memberValueDatatype="130" unbalanced="0" hidden="1"/>
    <cacheHierarchy uniqueName="[VentasOrigen].[Monto Venta]" caption="Monto Venta" attribute="1" defaultMemberUniqueName="[VentasOrigen].[Monto Venta].[All]" allUniqueName="[VentasOrigen].[Monto Venta].[All]" dimensionUniqueName="[VentasOrigen]" displayFolder="" count="0" memberValueDatatype="5" unbalanced="0" hidden="1"/>
    <cacheHierarchy uniqueName="[VentasOrigen].[Precio Unitario]" caption="Precio Unitario" attribute="1" defaultMemberUniqueName="[VentasOrigen].[Precio Unitario].[All]" allUniqueName="[VentasOrigen].[Precio Unitario].[All]" dimensionUniqueName="[VentasOrigen]" displayFolder="" count="0" memberValueDatatype="5" unbalanced="0" hidden="1"/>
    <cacheHierarchy uniqueName="[VentasOrigen].[Producto]" caption="Producto" attribute="1" defaultMemberUniqueName="[VentasOrigen].[Producto].[All]" allUniqueName="[VentasOrigen].[Producto].[All]" dimensionUniqueName="[VentasOrigen]" displayFolder="" count="0" memberValueDatatype="130" unbalanced="0" hidden="1"/>
    <cacheHierarchy uniqueName="[VentasOrigen].[Región]" caption="Región" attribute="1" defaultMemberUniqueName="[VentasOrigen].[Región].[All]" allUniqueName="[VentasOrigen].[Región].[All]" dimensionUniqueName="[VentasOrigen]" displayFolder="" count="0" memberValueDatatype="130" unbalanced="0" hidden="1"/>
    <cacheHierarchy uniqueName="[VentasOrigen].[Tipo de Cliente]" caption="Tipo de Cliente" attribute="1" defaultMemberUniqueName="[VentasOrigen].[Tipo de Cliente].[All]" allUniqueName="[VentasOrigen].[Tipo de Cliente].[All]" dimensionUniqueName="[VentasOrigen]" displayFolder="" count="0" memberValueDatatype="130" unbalanced="0" hidden="1"/>
    <cacheHierarchy uniqueName="[Measures].[Recuento de Categoría]" caption="Recuento de Categoría" measure="1" displayFolder="" measureGroup="ThVenta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Monto Venta 2]" caption="Suma de Monto Venta 2" measure="1" displayFolder="" measureGroup="ThVenta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ontoTotalVentas]" caption="MontoTotalVentas" measure="1" displayFolder="" measureGroup="Medidas" count="0" oneField="1">
      <fieldsUsage count="1">
        <fieldUsage x="1"/>
      </fieldsUsage>
    </cacheHierarchy>
    <cacheHierarchy uniqueName="[Measures].[CostosTotales]" caption="CostosTotales" measure="1" displayFolder="" measureGroup="Medidas" count="0"/>
    <cacheHierarchy uniqueName="[Measures].[MargenNeto]" caption="MargenNeto" measure="1" displayFolder="" measureGroup="Medidas" count="0" oneField="1">
      <fieldsUsage count="1">
        <fieldUsage x="3"/>
      </fieldsUsage>
    </cacheHierarchy>
    <cacheHierarchy uniqueName="[Measures].[MargenPorcentual]" caption="MargenPorcentual" measure="1" displayFolder="" measureGroup="Medidas" count="0"/>
    <cacheHierarchy uniqueName="[Measures].[ClientesUnicos]" caption="ClientesUnicos" measure="1" displayFolder="" measureGroup="Medidas" count="0"/>
    <cacheHierarchy uniqueName="[Measures].[VentasAñoAnterior]" caption="VentasAñoAnterior" measure="1" displayFolder="" measureGroup="Medidas" count="0"/>
    <cacheHierarchy uniqueName="[Measures].[CrecimientoYoY]" caption="CrecimientoYoY" measure="1" displayFolder="" measureGroup="Medidas" count="0" oneField="1">
      <fieldsUsage count="1">
        <fieldUsage x="0"/>
      </fieldsUsage>
    </cacheHierarchy>
    <cacheHierarchy uniqueName="[Measures].[CantidadOperaciones]" caption="CantidadOperaciones" measure="1" displayFolder="" measureGroup="Medidas" count="0" oneField="1">
      <fieldsUsage count="1">
        <fieldUsage x="4"/>
      </fieldsUsage>
    </cacheHierarchy>
    <cacheHierarchy uniqueName="[Measures].[__XL_Count VentasOrigen]" caption="__XL_Count VentasOrigen" measure="1" displayFolder="" measureGroup="VentasOrigen" count="0" hidden="1"/>
    <cacheHierarchy uniqueName="[Measures].[__XL_Count ThVentas]" caption="__XL_Count ThVentas" measure="1" displayFolder="" measureGroup="ThVentas" count="0" hidden="1"/>
    <cacheHierarchy uniqueName="[Measures].[__XL_Count DimClientes]" caption="__XL_Count DimClientes" measure="1" displayFolder="" measureGroup="DimClientes" count="0" hidden="1"/>
    <cacheHierarchy uniqueName="[Measures].[__XL_Count DimProductos]" caption="__XL_Count DimProductos" measure="1" displayFolder="" measureGroup="DimProductos" count="0" hidden="1"/>
    <cacheHierarchy uniqueName="[Measures].[__XL_Count Calendar]" caption="__XL_Count Calendar" measure="1" displayFolder="" measureGroup="Calendar" count="0" hidden="1"/>
    <cacheHierarchy uniqueName="[Measures].[__XL_Count Medidas]" caption="__XL_Count Medidas" measure="1" displayFolder="" measureGroup="Medidas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name="DimClientes" uniqueName="[DimClientes]" caption="DimClientes"/>
    <dimension name="DimProductos" uniqueName="[DimProductos]" caption="DimProductos"/>
    <dimension measure="1" name="Measures" uniqueName="[Measures]" caption="Measures"/>
    <dimension name="Medidas" uniqueName="[Medidas]" caption="Medidas"/>
    <dimension name="ThVentas" uniqueName="[ThVentas]" caption="ThVentas"/>
  </dimensions>
  <measureGroups count="6">
    <measureGroup name="Calendar" caption="Calendar"/>
    <measureGroup name="DimClientes" caption="DimClientes"/>
    <measureGroup name="DimProductos" caption="DimProductos"/>
    <measureGroup name="Medidas" caption="Medidas"/>
    <measureGroup name="ThVentas" caption="ThVentas"/>
    <measureGroup name="VentasOrigen" caption="VentasOrigen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tin Lyko" refreshedDate="46299.628031018518" createdVersion="8" refreshedVersion="8" minRefreshableVersion="3" recordCount="0" supportSubquery="1" supportAdvancedDrill="1" xr:uid="{CA9E1D29-0486-4C17-8694-697678CA5648}">
  <cacheSource type="external" connectionId="7"/>
  <cacheFields count="4">
    <cacheField name="[ThVentas].[Categoría].[Categoría]" caption="Categoría" numFmtId="0" hierarchy="18" level="1">
      <sharedItems count="5">
        <s v="Componentes"/>
        <s v="Computación"/>
        <s v="Periféricos"/>
        <s v="Servicios"/>
        <s v="Software"/>
      </sharedItems>
    </cacheField>
    <cacheField name="[Measures].[Suma de Monto Venta 2]" caption="Suma de Monto Venta 2" numFmtId="0" hierarchy="50" level="32767"/>
    <cacheField name="[ThVentas].[Fecha].[Fecha]" caption="Fecha" numFmtId="0" hierarchy="22" level="1">
      <sharedItems containsSemiMixedTypes="0" containsNonDate="0" containsString="0"/>
    </cacheField>
    <cacheField name="[ThVentas].[Región].[Región]" caption="Región" numFmtId="0" hierarchy="32" level="1">
      <sharedItems containsSemiMixedTypes="0" containsNonDate="0" containsString="0"/>
    </cacheField>
  </cacheFields>
  <cacheHierarchies count="6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DimClientes].[Cliente]" caption="Cliente" attribute="1" defaultMemberUniqueName="[DimClientes].[Cliente].[All]" allUniqueName="[DimClientes].[Cliente].[All]" dimensionUniqueName="[DimClientes]" displayFolder="" count="0" memberValueDatatype="130" unbalanced="0"/>
    <cacheHierarchy uniqueName="[DimClientes].[ID Cliente]" caption="ID Cliente" attribute="1" defaultMemberUniqueName="[DimClientes].[ID Cliente].[All]" allUniqueName="[DimClientes].[ID Cliente].[All]" dimensionUniqueName="[DimClientes]" displayFolder="" count="0" memberValueDatatype="130" unbalanced="0"/>
    <cacheHierarchy uniqueName="[DimClientes].[Región]" caption="Región" attribute="1" defaultMemberUniqueName="[DimClientes].[Región].[All]" allUniqueName="[DimClientes].[Región].[All]" dimensionUniqueName="[DimClientes]" displayFolder="" count="0" memberValueDatatype="130" unbalanced="0"/>
    <cacheHierarchy uniqueName="[DimClientes].[Tipo de Cliente]" caption="Tipo de Cliente" attribute="1" defaultMemberUniqueName="[DimClientes].[Tipo de Cliente].[All]" allUniqueName="[DimClientes].[Tipo de Cliente].[All]" dimensionUniqueName="[DimClientes]" displayFolder="" count="0" memberValueDatatype="130" unbalanced="0"/>
    <cacheHierarchy uniqueName="[DimProductos].[Categoría]" caption="Categoría" attribute="1" defaultMemberUniqueName="[DimProductos].[Categoría].[All]" allUniqueName="[DimProductos].[Categoría].[All]" dimensionUniqueName="[DimProductos]" displayFolder="" count="0" memberValueDatatype="130" unbalanced="0"/>
    <cacheHierarchy uniqueName="[DimProductos].[ID Producto]" caption="ID Producto" attribute="1" defaultMemberUniqueName="[DimProductos].[ID Producto].[All]" allUniqueName="[DimProductos].[ID Producto].[All]" dimensionUniqueName="[DimProductos]" displayFolder="" count="0" memberValueDatatype="130" unbalanced="0"/>
    <cacheHierarchy uniqueName="[DimProductos].[Precio Unitario]" caption="Precio Unitario" attribute="1" defaultMemberUniqueName="[DimProductos].[Precio Unitario].[All]" allUniqueName="[DimProductos].[Precio Unitario].[All]" dimensionUniqueName="[DimProductos]" displayFolder="" count="0" memberValueDatatype="5" unbalanced="0"/>
    <cacheHierarchy uniqueName="[DimProductos].[Producto]" caption="Producto" attribute="1" defaultMemberUniqueName="[DimProductos].[Producto].[All]" allUniqueName="[DimProductos].[Producto].[All]" dimensionUniqueName="[DimProductos]" displayFolder="" count="0" memberValueDatatype="130" unbalanced="0"/>
    <cacheHierarchy uniqueName="[Medidas].[Medidas]" caption="Medidas" attribute="1" defaultMemberUniqueName="[Medidas].[Medidas].[All]" allUniqueName="[Medidas].[Medidas].[All]" dimensionUniqueName="[Medidas]" displayFolder="" count="0" memberValueDatatype="130" unbalanced="0"/>
    <cacheHierarchy uniqueName="[ThVentas].[Cantidad]" caption="Cantidad" attribute="1" defaultMemberUniqueName="[ThVentas].[Cantidad].[All]" allUniqueName="[ThVentas].[Cantidad].[All]" dimensionUniqueName="[ThVentas]" displayFolder="" count="0" memberValueDatatype="20" unbalanced="0"/>
    <cacheHierarchy uniqueName="[ThVentas].[Categoría]" caption="Categoría" attribute="1" defaultMemberUniqueName="[ThVentas].[Categoría].[All]" allUniqueName="[ThVentas].[Categoría].[All]" dimensionUniqueName="[ThVentas]" displayFolder="" count="2" memberValueDatatype="130" unbalanced="0">
      <fieldsUsage count="2">
        <fieldUsage x="-1"/>
        <fieldUsage x="0"/>
      </fieldsUsage>
    </cacheHierarchy>
    <cacheHierarchy uniqueName="[ThVentas].[Cliente]" caption="Cliente" attribute="1" defaultMemberUniqueName="[ThVentas].[Cliente].[All]" allUniqueName="[ThVentas].[Cliente].[All]" dimensionUniqueName="[ThVentas]" displayFolder="" count="0" memberValueDatatype="130" unbalanced="0"/>
    <cacheHierarchy uniqueName="[ThVentas].[Costo Total]" caption="Costo Total" attribute="1" defaultMemberUniqueName="[ThVentas].[Costo Total].[All]" allUniqueName="[ThVentas].[Costo Total].[All]" dimensionUniqueName="[ThVentas]" displayFolder="" count="0" memberValueDatatype="5" unbalanced="0"/>
    <cacheHierarchy uniqueName="[ThVentas].[Descuento]" caption="Descuento" attribute="1" defaultMemberUniqueName="[ThVentas].[Descuento].[All]" allUniqueName="[ThVentas].[Descuento].[All]" dimensionUniqueName="[ThVentas]" displayFolder="" count="0" memberValueDatatype="5" unbalanced="0"/>
    <cacheHierarchy uniqueName="[ThVentas].[Fecha]" caption="Fecha" attribute="1" time="1" defaultMemberUniqueName="[ThVentas].[Fecha].[All]" allUniqueName="[ThVentas].[Fecha].[All]" dimensionUniqueName="[ThVentas]" displayFolder="" count="2" memberValueDatatype="7" unbalanced="0">
      <fieldsUsage count="2">
        <fieldUsage x="-1"/>
        <fieldUsage x="2"/>
      </fieldsUsage>
    </cacheHierarchy>
    <cacheHierarchy uniqueName="[ThVentas].[Fecha (año)]" caption="Fecha (año)" attribute="1" defaultMemberUniqueName="[ThVentas].[Fecha (año)].[All]" allUniqueName="[ThVentas].[Fecha (año)].[All]" dimensionUniqueName="[ThVentas]" displayFolder="" count="0" memberValueDatatype="130" unbalanced="0"/>
    <cacheHierarchy uniqueName="[ThVentas].[Fecha (mes)]" caption="Fecha (mes)" attribute="1" defaultMemberUniqueName="[ThVentas].[Fecha (mes)].[All]" allUniqueName="[ThVentas].[Fecha (mes)].[All]" dimensionUniqueName="[ThVentas]" displayFolder="" count="0" memberValueDatatype="130" unbalanced="0"/>
    <cacheHierarchy uniqueName="[ThVentas].[Fecha (trimestre)]" caption="Fecha (trimestre)" attribute="1" defaultMemberUniqueName="[ThVentas].[Fecha (trimestre)].[All]" allUniqueName="[ThVentas].[Fecha (trimestre)].[All]" dimensionUniqueName="[ThVentas]" displayFolder="" count="0" memberValueDatatype="130" unbalanced="0"/>
    <cacheHierarchy uniqueName="[ThVentas].[ID Cliente]" caption="ID Cliente" attribute="1" defaultMemberUniqueName="[ThVentas].[ID Cliente].[All]" allUniqueName="[ThVentas].[ID Cliente].[All]" dimensionUniqueName="[ThVentas]" displayFolder="" count="0" memberValueDatatype="130" unbalanced="0"/>
    <cacheHierarchy uniqueName="[ThVentas].[ID Producto]" caption="ID Producto" attribute="1" defaultMemberUniqueName="[ThVentas].[ID Producto].[All]" allUniqueName="[ThVentas].[ID Producto].[All]" dimensionUniqueName="[ThVentas]" displayFolder="" count="0" memberValueDatatype="130" unbalanced="0"/>
    <cacheHierarchy uniqueName="[ThVentas].[ID Venta]" caption="ID Venta" attribute="1" defaultMemberUniqueName="[ThVentas].[ID Venta].[All]" allUniqueName="[ThVentas].[ID Venta].[All]" dimensionUniqueName="[ThVentas]" displayFolder="" count="0" memberValueDatatype="130" unbalanced="0"/>
    <cacheHierarchy uniqueName="[ThVentas].[Monto Venta]" caption="Monto Venta" attribute="1" defaultMemberUniqueName="[ThVentas].[Monto Venta].[All]" allUniqueName="[ThVentas].[Monto Venta].[All]" dimensionUniqueName="[ThVentas]" displayFolder="" count="0" memberValueDatatype="5" unbalanced="0"/>
    <cacheHierarchy uniqueName="[ThVentas].[Precio Unitario]" caption="Precio Unitario" attribute="1" defaultMemberUniqueName="[ThVentas].[Precio Unitario].[All]" allUniqueName="[ThVentas].[Precio Unitario].[All]" dimensionUniqueName="[ThVentas]" displayFolder="" count="0" memberValueDatatype="5" unbalanced="0"/>
    <cacheHierarchy uniqueName="[ThVentas].[Producto]" caption="Producto" attribute="1" defaultMemberUniqueName="[ThVentas].[Producto].[All]" allUniqueName="[ThVentas].[Producto].[All]" dimensionUniqueName="[ThVentas]" displayFolder="" count="0" memberValueDatatype="130" unbalanced="0"/>
    <cacheHierarchy uniqueName="[ThVentas].[Región]" caption="Región" attribute="1" defaultMemberUniqueName="[ThVentas].[Región].[All]" allUniqueName="[ThVentas].[Región].[All]" dimensionUniqueName="[ThVentas]" displayFolder="" count="2" memberValueDatatype="130" unbalanced="0">
      <fieldsUsage count="2">
        <fieldUsage x="-1"/>
        <fieldUsage x="3"/>
      </fieldsUsage>
    </cacheHierarchy>
    <cacheHierarchy uniqueName="[ThVentas].[Tipo de Cliente]" caption="Tipo de Cliente" attribute="1" defaultMemberUniqueName="[ThVentas].[Tipo de Cliente].[All]" allUniqueName="[ThVentas].[Tipo de Cliente].[All]" dimensionUniqueName="[ThVentas]" displayFolder="" count="0" memberValueDatatype="130" unbalanced="0"/>
    <cacheHierarchy uniqueName="[ThVentas].[Fecha (índice de meses)]" caption="Fecha (índice de meses)" attribute="1" defaultMemberUniqueName="[ThVentas].[Fecha (índice de meses)].[All]" allUniqueName="[ThVentas].[Fecha (índice de meses)].[All]" dimensionUniqueName="[ThVentas]" displayFolder="" count="0" memberValueDatatype="20" unbalanced="0" hidden="1"/>
    <cacheHierarchy uniqueName="[VentasOrigen].[Cantidad]" caption="Cantidad" attribute="1" defaultMemberUniqueName="[VentasOrigen].[Cantidad].[All]" allUniqueName="[VentasOrigen].[Cantidad].[All]" dimensionUniqueName="[VentasOrigen]" displayFolder="" count="0" memberValueDatatype="20" unbalanced="0" hidden="1"/>
    <cacheHierarchy uniqueName="[VentasOrigen].[Categoría]" caption="Categoría" attribute="1" defaultMemberUniqueName="[VentasOrigen].[Categoría].[All]" allUniqueName="[VentasOrigen].[Categoría].[All]" dimensionUniqueName="[VentasOrigen]" displayFolder="" count="0" memberValueDatatype="130" unbalanced="0" hidden="1"/>
    <cacheHierarchy uniqueName="[VentasOrigen].[Cliente]" caption="Cliente" attribute="1" defaultMemberUniqueName="[VentasOrigen].[Cliente].[All]" allUniqueName="[VentasOrigen].[Cliente].[All]" dimensionUniqueName="[VentasOrigen]" displayFolder="" count="0" memberValueDatatype="130" unbalanced="0" hidden="1"/>
    <cacheHierarchy uniqueName="[VentasOrigen].[Costo Total]" caption="Costo Total" attribute="1" defaultMemberUniqueName="[VentasOrigen].[Costo Total].[All]" allUniqueName="[VentasOrigen].[Costo Total].[All]" dimensionUniqueName="[VentasOrigen]" displayFolder="" count="0" memberValueDatatype="5" unbalanced="0" hidden="1"/>
    <cacheHierarchy uniqueName="[VentasOrigen].[Descuento]" caption="Descuento" attribute="1" defaultMemberUniqueName="[VentasOrigen].[Descuento].[All]" allUniqueName="[VentasOrigen].[Descuento].[All]" dimensionUniqueName="[VentasOrigen]" displayFolder="" count="0" memberValueDatatype="5" unbalanced="0" hidden="1"/>
    <cacheHierarchy uniqueName="[VentasOrigen].[Fecha]" caption="Fecha" attribute="1" time="1" defaultMemberUniqueName="[VentasOrigen].[Fecha].[All]" allUniqueName="[VentasOrigen].[Fecha].[All]" dimensionUniqueName="[VentasOrigen]" displayFolder="" count="0" memberValueDatatype="7" unbalanced="0" hidden="1"/>
    <cacheHierarchy uniqueName="[VentasOrigen].[ID Cliente]" caption="ID Cliente" attribute="1" defaultMemberUniqueName="[VentasOrigen].[ID Cliente].[All]" allUniqueName="[VentasOrigen].[ID Cliente].[All]" dimensionUniqueName="[VentasOrigen]" displayFolder="" count="0" memberValueDatatype="130" unbalanced="0" hidden="1"/>
    <cacheHierarchy uniqueName="[VentasOrigen].[ID Producto]" caption="ID Producto" attribute="1" defaultMemberUniqueName="[VentasOrigen].[ID Producto].[All]" allUniqueName="[VentasOrigen].[ID Producto].[All]" dimensionUniqueName="[VentasOrigen]" displayFolder="" count="0" memberValueDatatype="130" unbalanced="0" hidden="1"/>
    <cacheHierarchy uniqueName="[VentasOrigen].[ID Venta]" caption="ID Venta" attribute="1" defaultMemberUniqueName="[VentasOrigen].[ID Venta].[All]" allUniqueName="[VentasOrigen].[ID Venta].[All]" dimensionUniqueName="[VentasOrigen]" displayFolder="" count="0" memberValueDatatype="130" unbalanced="0" hidden="1"/>
    <cacheHierarchy uniqueName="[VentasOrigen].[Monto Venta]" caption="Monto Venta" attribute="1" defaultMemberUniqueName="[VentasOrigen].[Monto Venta].[All]" allUniqueName="[VentasOrigen].[Monto Venta].[All]" dimensionUniqueName="[VentasOrigen]" displayFolder="" count="0" memberValueDatatype="5" unbalanced="0" hidden="1"/>
    <cacheHierarchy uniqueName="[VentasOrigen].[Precio Unitario]" caption="Precio Unitario" attribute="1" defaultMemberUniqueName="[VentasOrigen].[Precio Unitario].[All]" allUniqueName="[VentasOrigen].[Precio Unitario].[All]" dimensionUniqueName="[VentasOrigen]" displayFolder="" count="0" memberValueDatatype="5" unbalanced="0" hidden="1"/>
    <cacheHierarchy uniqueName="[VentasOrigen].[Producto]" caption="Producto" attribute="1" defaultMemberUniqueName="[VentasOrigen].[Producto].[All]" allUniqueName="[VentasOrigen].[Producto].[All]" dimensionUniqueName="[VentasOrigen]" displayFolder="" count="0" memberValueDatatype="130" unbalanced="0" hidden="1"/>
    <cacheHierarchy uniqueName="[VentasOrigen].[Región]" caption="Región" attribute="1" defaultMemberUniqueName="[VentasOrigen].[Región].[All]" allUniqueName="[VentasOrigen].[Región].[All]" dimensionUniqueName="[VentasOrigen]" displayFolder="" count="0" memberValueDatatype="130" unbalanced="0" hidden="1"/>
    <cacheHierarchy uniqueName="[VentasOrigen].[Tipo de Cliente]" caption="Tipo de Cliente" attribute="1" defaultMemberUniqueName="[VentasOrigen].[Tipo de Cliente].[All]" allUniqueName="[VentasOrigen].[Tipo de Cliente].[All]" dimensionUniqueName="[VentasOrigen]" displayFolder="" count="0" memberValueDatatype="130" unbalanced="0" hidden="1"/>
    <cacheHierarchy uniqueName="[Measures].[Recuento de Categoría]" caption="Recuento de Categoría" measure="1" displayFolder="" measureGroup="ThVenta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Monto Venta 2]" caption="Suma de Monto Venta 2" measure="1" displayFolder="" measureGroup="ThVent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ontoTotalVentas]" caption="MontoTotalVentas" measure="1" displayFolder="" measureGroup="Medidas" count="0"/>
    <cacheHierarchy uniqueName="[Measures].[CostosTotales]" caption="CostosTotales" measure="1" displayFolder="" measureGroup="Medidas" count="0"/>
    <cacheHierarchy uniqueName="[Measures].[MargenNeto]" caption="MargenNeto" measure="1" displayFolder="" measureGroup="Medidas" count="0"/>
    <cacheHierarchy uniqueName="[Measures].[MargenPorcentual]" caption="MargenPorcentual" measure="1" displayFolder="" measureGroup="Medidas" count="0"/>
    <cacheHierarchy uniqueName="[Measures].[ClientesUnicos]" caption="ClientesUnicos" measure="1" displayFolder="" measureGroup="Medidas" count="0"/>
    <cacheHierarchy uniqueName="[Measures].[VentasAñoAnterior]" caption="VentasAñoAnterior" measure="1" displayFolder="" measureGroup="Medidas" count="0"/>
    <cacheHierarchy uniqueName="[Measures].[CrecimientoYoY]" caption="CrecimientoYoY" measure="1" displayFolder="" measureGroup="Medidas" count="0"/>
    <cacheHierarchy uniqueName="[Measures].[CantidadOperaciones]" caption="CantidadOperaciones" measure="1" displayFolder="" measureGroup="Medidas" count="0"/>
    <cacheHierarchy uniqueName="[Measures].[__XL_Count VentasOrigen]" caption="__XL_Count VentasOrigen" measure="1" displayFolder="" measureGroup="VentasOrigen" count="0" hidden="1"/>
    <cacheHierarchy uniqueName="[Measures].[__XL_Count ThVentas]" caption="__XL_Count ThVentas" measure="1" displayFolder="" measureGroup="ThVentas" count="0" hidden="1"/>
    <cacheHierarchy uniqueName="[Measures].[__XL_Count DimClientes]" caption="__XL_Count DimClientes" measure="1" displayFolder="" measureGroup="DimClientes" count="0" hidden="1"/>
    <cacheHierarchy uniqueName="[Measures].[__XL_Count DimProductos]" caption="__XL_Count DimProductos" measure="1" displayFolder="" measureGroup="DimProductos" count="0" hidden="1"/>
    <cacheHierarchy uniqueName="[Measures].[__XL_Count Calendar]" caption="__XL_Count Calendar" measure="1" displayFolder="" measureGroup="Calendar" count="0" hidden="1"/>
    <cacheHierarchy uniqueName="[Measures].[__XL_Count Medidas]" caption="__XL_Count Medidas" measure="1" displayFolder="" measureGroup="Medidas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name="DimClientes" uniqueName="[DimClientes]" caption="DimClientes"/>
    <dimension name="DimProductos" uniqueName="[DimProductos]" caption="DimProductos"/>
    <dimension measure="1" name="Measures" uniqueName="[Measures]" caption="Measures"/>
    <dimension name="Medidas" uniqueName="[Medidas]" caption="Medidas"/>
    <dimension name="ThVentas" uniqueName="[ThVentas]" caption="ThVentas"/>
  </dimensions>
  <measureGroups count="6">
    <measureGroup name="Calendar" caption="Calendar"/>
    <measureGroup name="DimClientes" caption="DimClientes"/>
    <measureGroup name="DimProductos" caption="DimProductos"/>
    <measureGroup name="Medidas" caption="Medidas"/>
    <measureGroup name="ThVentas" caption="ThVentas"/>
    <measureGroup name="VentasOrigen" caption="VentasOrigen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tin Lyko" refreshedDate="46299.628032407411" createdVersion="8" refreshedVersion="8" minRefreshableVersion="3" recordCount="0" supportSubquery="1" supportAdvancedDrill="1" xr:uid="{9E9BF2E1-3B0A-4D1E-97D2-D02CAFD99457}">
  <cacheSource type="external" connectionId="7"/>
  <cacheFields count="5">
    <cacheField name="[Measures].[MontoTotalVentas]" caption="MontoTotalVentas" numFmtId="0" hierarchy="51" level="32767"/>
    <cacheField name="[Measures].[CostosTotales]" caption="CostosTotales" numFmtId="0" hierarchy="52" level="32767"/>
    <cacheField name="[ThVentas].[Fecha].[Fecha]" caption="Fecha" numFmtId="0" hierarchy="22" level="1">
      <sharedItems containsSemiMixedTypes="0" containsNonDate="0" containsString="0"/>
    </cacheField>
    <cacheField name="[ThVentas].[Región].[Región]" caption="Región" numFmtId="0" hierarchy="32" level="1">
      <sharedItems containsSemiMixedTypes="0" containsNonDate="0" containsString="0"/>
    </cacheField>
    <cacheField name="[ThVentas].[Categoría].[Categoría]" caption="Categoría" numFmtId="0" hierarchy="18" level="1">
      <sharedItems containsSemiMixedTypes="0" containsNonDate="0" containsString="0"/>
    </cacheField>
  </cacheFields>
  <cacheHierarchies count="6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DimClientes].[Cliente]" caption="Cliente" attribute="1" defaultMemberUniqueName="[DimClientes].[Cliente].[All]" allUniqueName="[DimClientes].[Cliente].[All]" dimensionUniqueName="[DimClientes]" displayFolder="" count="0" memberValueDatatype="130" unbalanced="0"/>
    <cacheHierarchy uniqueName="[DimClientes].[ID Cliente]" caption="ID Cliente" attribute="1" defaultMemberUniqueName="[DimClientes].[ID Cliente].[All]" allUniqueName="[DimClientes].[ID Cliente].[All]" dimensionUniqueName="[DimClientes]" displayFolder="" count="0" memberValueDatatype="130" unbalanced="0"/>
    <cacheHierarchy uniqueName="[DimClientes].[Región]" caption="Región" attribute="1" defaultMemberUniqueName="[DimClientes].[Región].[All]" allUniqueName="[DimClientes].[Región].[All]" dimensionUniqueName="[DimClientes]" displayFolder="" count="0" memberValueDatatype="130" unbalanced="0"/>
    <cacheHierarchy uniqueName="[DimClientes].[Tipo de Cliente]" caption="Tipo de Cliente" attribute="1" defaultMemberUniqueName="[DimClientes].[Tipo de Cliente].[All]" allUniqueName="[DimClientes].[Tipo de Cliente].[All]" dimensionUniqueName="[DimClientes]" displayFolder="" count="0" memberValueDatatype="130" unbalanced="0"/>
    <cacheHierarchy uniqueName="[DimProductos].[Categoría]" caption="Categoría" attribute="1" defaultMemberUniqueName="[DimProductos].[Categoría].[All]" allUniqueName="[DimProductos].[Categoría].[All]" dimensionUniqueName="[DimProductos]" displayFolder="" count="0" memberValueDatatype="130" unbalanced="0"/>
    <cacheHierarchy uniqueName="[DimProductos].[ID Producto]" caption="ID Producto" attribute="1" defaultMemberUniqueName="[DimProductos].[ID Producto].[All]" allUniqueName="[DimProductos].[ID Producto].[All]" dimensionUniqueName="[DimProductos]" displayFolder="" count="0" memberValueDatatype="130" unbalanced="0"/>
    <cacheHierarchy uniqueName="[DimProductos].[Precio Unitario]" caption="Precio Unitario" attribute="1" defaultMemberUniqueName="[DimProductos].[Precio Unitario].[All]" allUniqueName="[DimProductos].[Precio Unitario].[All]" dimensionUniqueName="[DimProductos]" displayFolder="" count="0" memberValueDatatype="5" unbalanced="0"/>
    <cacheHierarchy uniqueName="[DimProductos].[Producto]" caption="Producto" attribute="1" defaultMemberUniqueName="[DimProductos].[Producto].[All]" allUniqueName="[DimProductos].[Producto].[All]" dimensionUniqueName="[DimProductos]" displayFolder="" count="0" memberValueDatatype="130" unbalanced="0"/>
    <cacheHierarchy uniqueName="[Medidas].[Medidas]" caption="Medidas" attribute="1" defaultMemberUniqueName="[Medidas].[Medidas].[All]" allUniqueName="[Medidas].[Medidas].[All]" dimensionUniqueName="[Medidas]" displayFolder="" count="0" memberValueDatatype="130" unbalanced="0"/>
    <cacheHierarchy uniqueName="[ThVentas].[Cantidad]" caption="Cantidad" attribute="1" defaultMemberUniqueName="[ThVentas].[Cantidad].[All]" allUniqueName="[ThVentas].[Cantidad].[All]" dimensionUniqueName="[ThVentas]" displayFolder="" count="0" memberValueDatatype="20" unbalanced="0"/>
    <cacheHierarchy uniqueName="[ThVentas].[Categoría]" caption="Categoría" attribute="1" defaultMemberUniqueName="[ThVentas].[Categoría].[All]" allUniqueName="[ThVentas].[Categoría].[All]" dimensionUniqueName="[ThVentas]" displayFolder="" count="2" memberValueDatatype="130" unbalanced="0">
      <fieldsUsage count="2">
        <fieldUsage x="-1"/>
        <fieldUsage x="4"/>
      </fieldsUsage>
    </cacheHierarchy>
    <cacheHierarchy uniqueName="[ThVentas].[Cliente]" caption="Cliente" attribute="1" defaultMemberUniqueName="[ThVentas].[Cliente].[All]" allUniqueName="[ThVentas].[Cliente].[All]" dimensionUniqueName="[ThVentas]" displayFolder="" count="0" memberValueDatatype="130" unbalanced="0"/>
    <cacheHierarchy uniqueName="[ThVentas].[Costo Total]" caption="Costo Total" attribute="1" defaultMemberUniqueName="[ThVentas].[Costo Total].[All]" allUniqueName="[ThVentas].[Costo Total].[All]" dimensionUniqueName="[ThVentas]" displayFolder="" count="0" memberValueDatatype="5" unbalanced="0"/>
    <cacheHierarchy uniqueName="[ThVentas].[Descuento]" caption="Descuento" attribute="1" defaultMemberUniqueName="[ThVentas].[Descuento].[All]" allUniqueName="[ThVentas].[Descuento].[All]" dimensionUniqueName="[ThVentas]" displayFolder="" count="0" memberValueDatatype="5" unbalanced="0"/>
    <cacheHierarchy uniqueName="[ThVentas].[Fecha]" caption="Fecha" attribute="1" time="1" defaultMemberUniqueName="[ThVentas].[Fecha].[All]" allUniqueName="[ThVentas].[Fecha].[All]" dimensionUniqueName="[ThVentas]" displayFolder="" count="2" memberValueDatatype="7" unbalanced="0">
      <fieldsUsage count="2">
        <fieldUsage x="-1"/>
        <fieldUsage x="2"/>
      </fieldsUsage>
    </cacheHierarchy>
    <cacheHierarchy uniqueName="[ThVentas].[Fecha (año)]" caption="Fecha (año)" attribute="1" defaultMemberUniqueName="[ThVentas].[Fecha (año)].[All]" allUniqueName="[ThVentas].[Fecha (año)].[All]" dimensionUniqueName="[ThVentas]" displayFolder="" count="0" memberValueDatatype="130" unbalanced="0"/>
    <cacheHierarchy uniqueName="[ThVentas].[Fecha (mes)]" caption="Fecha (mes)" attribute="1" defaultMemberUniqueName="[ThVentas].[Fecha (mes)].[All]" allUniqueName="[ThVentas].[Fecha (mes)].[All]" dimensionUniqueName="[ThVentas]" displayFolder="" count="0" memberValueDatatype="130" unbalanced="0"/>
    <cacheHierarchy uniqueName="[ThVentas].[Fecha (trimestre)]" caption="Fecha (trimestre)" attribute="1" defaultMemberUniqueName="[ThVentas].[Fecha (trimestre)].[All]" allUniqueName="[ThVentas].[Fecha (trimestre)].[All]" dimensionUniqueName="[ThVentas]" displayFolder="" count="0" memberValueDatatype="130" unbalanced="0"/>
    <cacheHierarchy uniqueName="[ThVentas].[ID Cliente]" caption="ID Cliente" attribute="1" defaultMemberUniqueName="[ThVentas].[ID Cliente].[All]" allUniqueName="[ThVentas].[ID Cliente].[All]" dimensionUniqueName="[ThVentas]" displayFolder="" count="0" memberValueDatatype="130" unbalanced="0"/>
    <cacheHierarchy uniqueName="[ThVentas].[ID Producto]" caption="ID Producto" attribute="1" defaultMemberUniqueName="[ThVentas].[ID Producto].[All]" allUniqueName="[ThVentas].[ID Producto].[All]" dimensionUniqueName="[ThVentas]" displayFolder="" count="0" memberValueDatatype="130" unbalanced="0"/>
    <cacheHierarchy uniqueName="[ThVentas].[ID Venta]" caption="ID Venta" attribute="1" defaultMemberUniqueName="[ThVentas].[ID Venta].[All]" allUniqueName="[ThVentas].[ID Venta].[All]" dimensionUniqueName="[ThVentas]" displayFolder="" count="0" memberValueDatatype="130" unbalanced="0"/>
    <cacheHierarchy uniqueName="[ThVentas].[Monto Venta]" caption="Monto Venta" attribute="1" defaultMemberUniqueName="[ThVentas].[Monto Venta].[All]" allUniqueName="[ThVentas].[Monto Venta].[All]" dimensionUniqueName="[ThVentas]" displayFolder="" count="0" memberValueDatatype="5" unbalanced="0"/>
    <cacheHierarchy uniqueName="[ThVentas].[Precio Unitario]" caption="Precio Unitario" attribute="1" defaultMemberUniqueName="[ThVentas].[Precio Unitario].[All]" allUniqueName="[ThVentas].[Precio Unitario].[All]" dimensionUniqueName="[ThVentas]" displayFolder="" count="0" memberValueDatatype="5" unbalanced="0"/>
    <cacheHierarchy uniqueName="[ThVentas].[Producto]" caption="Producto" attribute="1" defaultMemberUniqueName="[ThVentas].[Producto].[All]" allUniqueName="[ThVentas].[Producto].[All]" dimensionUniqueName="[ThVentas]" displayFolder="" count="0" memberValueDatatype="130" unbalanced="0"/>
    <cacheHierarchy uniqueName="[ThVentas].[Región]" caption="Región" attribute="1" defaultMemberUniqueName="[ThVentas].[Región].[All]" allUniqueName="[ThVentas].[Región].[All]" dimensionUniqueName="[ThVentas]" displayFolder="" count="2" memberValueDatatype="130" unbalanced="0">
      <fieldsUsage count="2">
        <fieldUsage x="-1"/>
        <fieldUsage x="3"/>
      </fieldsUsage>
    </cacheHierarchy>
    <cacheHierarchy uniqueName="[ThVentas].[Tipo de Cliente]" caption="Tipo de Cliente" attribute="1" defaultMemberUniqueName="[ThVentas].[Tipo de Cliente].[All]" allUniqueName="[ThVentas].[Tipo de Cliente].[All]" dimensionUniqueName="[ThVentas]" displayFolder="" count="0" memberValueDatatype="130" unbalanced="0"/>
    <cacheHierarchy uniqueName="[ThVentas].[Fecha (índice de meses)]" caption="Fecha (índice de meses)" attribute="1" defaultMemberUniqueName="[ThVentas].[Fecha (índice de meses)].[All]" allUniqueName="[ThVentas].[Fecha (índice de meses)].[All]" dimensionUniqueName="[ThVentas]" displayFolder="" count="0" memberValueDatatype="20" unbalanced="0" hidden="1"/>
    <cacheHierarchy uniqueName="[VentasOrigen].[Cantidad]" caption="Cantidad" attribute="1" defaultMemberUniqueName="[VentasOrigen].[Cantidad].[All]" allUniqueName="[VentasOrigen].[Cantidad].[All]" dimensionUniqueName="[VentasOrigen]" displayFolder="" count="0" memberValueDatatype="20" unbalanced="0" hidden="1"/>
    <cacheHierarchy uniqueName="[VentasOrigen].[Categoría]" caption="Categoría" attribute="1" defaultMemberUniqueName="[VentasOrigen].[Categoría].[All]" allUniqueName="[VentasOrigen].[Categoría].[All]" dimensionUniqueName="[VentasOrigen]" displayFolder="" count="0" memberValueDatatype="130" unbalanced="0" hidden="1"/>
    <cacheHierarchy uniqueName="[VentasOrigen].[Cliente]" caption="Cliente" attribute="1" defaultMemberUniqueName="[VentasOrigen].[Cliente].[All]" allUniqueName="[VentasOrigen].[Cliente].[All]" dimensionUniqueName="[VentasOrigen]" displayFolder="" count="0" memberValueDatatype="130" unbalanced="0" hidden="1"/>
    <cacheHierarchy uniqueName="[VentasOrigen].[Costo Total]" caption="Costo Total" attribute="1" defaultMemberUniqueName="[VentasOrigen].[Costo Total].[All]" allUniqueName="[VentasOrigen].[Costo Total].[All]" dimensionUniqueName="[VentasOrigen]" displayFolder="" count="0" memberValueDatatype="5" unbalanced="0" hidden="1"/>
    <cacheHierarchy uniqueName="[VentasOrigen].[Descuento]" caption="Descuento" attribute="1" defaultMemberUniqueName="[VentasOrigen].[Descuento].[All]" allUniqueName="[VentasOrigen].[Descuento].[All]" dimensionUniqueName="[VentasOrigen]" displayFolder="" count="0" memberValueDatatype="5" unbalanced="0" hidden="1"/>
    <cacheHierarchy uniqueName="[VentasOrigen].[Fecha]" caption="Fecha" attribute="1" time="1" defaultMemberUniqueName="[VentasOrigen].[Fecha].[All]" allUniqueName="[VentasOrigen].[Fecha].[All]" dimensionUniqueName="[VentasOrigen]" displayFolder="" count="0" memberValueDatatype="7" unbalanced="0" hidden="1"/>
    <cacheHierarchy uniqueName="[VentasOrigen].[ID Cliente]" caption="ID Cliente" attribute="1" defaultMemberUniqueName="[VentasOrigen].[ID Cliente].[All]" allUniqueName="[VentasOrigen].[ID Cliente].[All]" dimensionUniqueName="[VentasOrigen]" displayFolder="" count="0" memberValueDatatype="130" unbalanced="0" hidden="1"/>
    <cacheHierarchy uniqueName="[VentasOrigen].[ID Producto]" caption="ID Producto" attribute="1" defaultMemberUniqueName="[VentasOrigen].[ID Producto].[All]" allUniqueName="[VentasOrigen].[ID Producto].[All]" dimensionUniqueName="[VentasOrigen]" displayFolder="" count="0" memberValueDatatype="130" unbalanced="0" hidden="1"/>
    <cacheHierarchy uniqueName="[VentasOrigen].[ID Venta]" caption="ID Venta" attribute="1" defaultMemberUniqueName="[VentasOrigen].[ID Venta].[All]" allUniqueName="[VentasOrigen].[ID Venta].[All]" dimensionUniqueName="[VentasOrigen]" displayFolder="" count="0" memberValueDatatype="130" unbalanced="0" hidden="1"/>
    <cacheHierarchy uniqueName="[VentasOrigen].[Monto Venta]" caption="Monto Venta" attribute="1" defaultMemberUniqueName="[VentasOrigen].[Monto Venta].[All]" allUniqueName="[VentasOrigen].[Monto Venta].[All]" dimensionUniqueName="[VentasOrigen]" displayFolder="" count="0" memberValueDatatype="5" unbalanced="0" hidden="1"/>
    <cacheHierarchy uniqueName="[VentasOrigen].[Precio Unitario]" caption="Precio Unitario" attribute="1" defaultMemberUniqueName="[VentasOrigen].[Precio Unitario].[All]" allUniqueName="[VentasOrigen].[Precio Unitario].[All]" dimensionUniqueName="[VentasOrigen]" displayFolder="" count="0" memberValueDatatype="5" unbalanced="0" hidden="1"/>
    <cacheHierarchy uniqueName="[VentasOrigen].[Producto]" caption="Producto" attribute="1" defaultMemberUniqueName="[VentasOrigen].[Producto].[All]" allUniqueName="[VentasOrigen].[Producto].[All]" dimensionUniqueName="[VentasOrigen]" displayFolder="" count="0" memberValueDatatype="130" unbalanced="0" hidden="1"/>
    <cacheHierarchy uniqueName="[VentasOrigen].[Región]" caption="Región" attribute="1" defaultMemberUniqueName="[VentasOrigen].[Región].[All]" allUniqueName="[VentasOrigen].[Región].[All]" dimensionUniqueName="[VentasOrigen]" displayFolder="" count="0" memberValueDatatype="130" unbalanced="0" hidden="1"/>
    <cacheHierarchy uniqueName="[VentasOrigen].[Tipo de Cliente]" caption="Tipo de Cliente" attribute="1" defaultMemberUniqueName="[VentasOrigen].[Tipo de Cliente].[All]" allUniqueName="[VentasOrigen].[Tipo de Cliente].[All]" dimensionUniqueName="[VentasOrigen]" displayFolder="" count="0" memberValueDatatype="130" unbalanced="0" hidden="1"/>
    <cacheHierarchy uniqueName="[Measures].[Recuento de Categoría]" caption="Recuento de Categoría" measure="1" displayFolder="" measureGroup="ThVenta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Monto Venta 2]" caption="Suma de Monto Venta 2" measure="1" displayFolder="" measureGroup="ThVenta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ontoTotalVentas]" caption="MontoTotalVentas" measure="1" displayFolder="" measureGroup="Medidas" count="0" oneField="1">
      <fieldsUsage count="1">
        <fieldUsage x="0"/>
      </fieldsUsage>
    </cacheHierarchy>
    <cacheHierarchy uniqueName="[Measures].[CostosTotales]" caption="CostosTotales" measure="1" displayFolder="" measureGroup="Medidas" count="0" oneField="1">
      <fieldsUsage count="1">
        <fieldUsage x="1"/>
      </fieldsUsage>
    </cacheHierarchy>
    <cacheHierarchy uniqueName="[Measures].[MargenNeto]" caption="MargenNeto" measure="1" displayFolder="" measureGroup="Medidas" count="0"/>
    <cacheHierarchy uniqueName="[Measures].[MargenPorcentual]" caption="MargenPorcentual" measure="1" displayFolder="" measureGroup="Medidas" count="0"/>
    <cacheHierarchy uniqueName="[Measures].[ClientesUnicos]" caption="ClientesUnicos" measure="1" displayFolder="" measureGroup="Medidas" count="0"/>
    <cacheHierarchy uniqueName="[Measures].[VentasAñoAnterior]" caption="VentasAñoAnterior" measure="1" displayFolder="" measureGroup="Medidas" count="0"/>
    <cacheHierarchy uniqueName="[Measures].[CrecimientoYoY]" caption="CrecimientoYoY" measure="1" displayFolder="" measureGroup="Medidas" count="0"/>
    <cacheHierarchy uniqueName="[Measures].[CantidadOperaciones]" caption="CantidadOperaciones" measure="1" displayFolder="" measureGroup="Medidas" count="0"/>
    <cacheHierarchy uniqueName="[Measures].[__XL_Count VentasOrigen]" caption="__XL_Count VentasOrigen" measure="1" displayFolder="" measureGroup="VentasOrigen" count="0" hidden="1"/>
    <cacheHierarchy uniqueName="[Measures].[__XL_Count ThVentas]" caption="__XL_Count ThVentas" measure="1" displayFolder="" measureGroup="ThVentas" count="0" hidden="1"/>
    <cacheHierarchy uniqueName="[Measures].[__XL_Count DimClientes]" caption="__XL_Count DimClientes" measure="1" displayFolder="" measureGroup="DimClientes" count="0" hidden="1"/>
    <cacheHierarchy uniqueName="[Measures].[__XL_Count DimProductos]" caption="__XL_Count DimProductos" measure="1" displayFolder="" measureGroup="DimProductos" count="0" hidden="1"/>
    <cacheHierarchy uniqueName="[Measures].[__XL_Count Calendar]" caption="__XL_Count Calendar" measure="1" displayFolder="" measureGroup="Calendar" count="0" hidden="1"/>
    <cacheHierarchy uniqueName="[Measures].[__XL_Count Medidas]" caption="__XL_Count Medidas" measure="1" displayFolder="" measureGroup="Medidas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name="DimClientes" uniqueName="[DimClientes]" caption="DimClientes"/>
    <dimension name="DimProductos" uniqueName="[DimProductos]" caption="DimProductos"/>
    <dimension measure="1" name="Measures" uniqueName="[Measures]" caption="Measures"/>
    <dimension name="Medidas" uniqueName="[Medidas]" caption="Medidas"/>
    <dimension name="ThVentas" uniqueName="[ThVentas]" caption="ThVentas"/>
  </dimensions>
  <measureGroups count="6">
    <measureGroup name="Calendar" caption="Calendar"/>
    <measureGroup name="DimClientes" caption="DimClientes"/>
    <measureGroup name="DimProductos" caption="DimProductos"/>
    <measureGroup name="Medidas" caption="Medidas"/>
    <measureGroup name="ThVentas" caption="ThVentas"/>
    <measureGroup name="VentasOrigen" caption="VentasOrigen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tin Lyko" refreshedDate="46299.628033680558" createdVersion="8" refreshedVersion="8" minRefreshableVersion="3" recordCount="0" supportSubquery="1" supportAdvancedDrill="1" xr:uid="{E288DDC8-1417-4749-9BA8-B4E9C9ADFFDD}">
  <cacheSource type="external" connectionId="7"/>
  <cacheFields count="4">
    <cacheField name="[ThVentas].[Categoría].[Categoría]" caption="Categoría" numFmtId="0" hierarchy="18" level="1">
      <sharedItems count="5">
        <s v="Componentes"/>
        <s v="Computación"/>
        <s v="Periféricos"/>
        <s v="Servicios"/>
        <s v="Software"/>
      </sharedItems>
    </cacheField>
    <cacheField name="[Measures].[Suma de Monto Venta 2]" caption="Suma de Monto Venta 2" numFmtId="0" hierarchy="50" level="32767"/>
    <cacheField name="[ThVentas].[Fecha].[Fecha]" caption="Fecha" numFmtId="0" hierarchy="22" level="1">
      <sharedItems containsSemiMixedTypes="0" containsNonDate="0" containsString="0"/>
    </cacheField>
    <cacheField name="[ThVentas].[Región].[Región]" caption="Región" numFmtId="0" hierarchy="32" level="1">
      <sharedItems containsSemiMixedTypes="0" containsNonDate="0" containsString="0"/>
    </cacheField>
  </cacheFields>
  <cacheHierarchies count="6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DimClientes].[Cliente]" caption="Cliente" attribute="1" defaultMemberUniqueName="[DimClientes].[Cliente].[All]" allUniqueName="[DimClientes].[Cliente].[All]" dimensionUniqueName="[DimClientes]" displayFolder="" count="0" memberValueDatatype="130" unbalanced="0"/>
    <cacheHierarchy uniqueName="[DimClientes].[ID Cliente]" caption="ID Cliente" attribute="1" defaultMemberUniqueName="[DimClientes].[ID Cliente].[All]" allUniqueName="[DimClientes].[ID Cliente].[All]" dimensionUniqueName="[DimClientes]" displayFolder="" count="0" memberValueDatatype="130" unbalanced="0"/>
    <cacheHierarchy uniqueName="[DimClientes].[Región]" caption="Región" attribute="1" defaultMemberUniqueName="[DimClientes].[Región].[All]" allUniqueName="[DimClientes].[Región].[All]" dimensionUniqueName="[DimClientes]" displayFolder="" count="0" memberValueDatatype="130" unbalanced="0"/>
    <cacheHierarchy uniqueName="[DimClientes].[Tipo de Cliente]" caption="Tipo de Cliente" attribute="1" defaultMemberUniqueName="[DimClientes].[Tipo de Cliente].[All]" allUniqueName="[DimClientes].[Tipo de Cliente].[All]" dimensionUniqueName="[DimClientes]" displayFolder="" count="0" memberValueDatatype="130" unbalanced="0"/>
    <cacheHierarchy uniqueName="[DimProductos].[Categoría]" caption="Categoría" attribute="1" defaultMemberUniqueName="[DimProductos].[Categoría].[All]" allUniqueName="[DimProductos].[Categoría].[All]" dimensionUniqueName="[DimProductos]" displayFolder="" count="0" memberValueDatatype="130" unbalanced="0"/>
    <cacheHierarchy uniqueName="[DimProductos].[ID Producto]" caption="ID Producto" attribute="1" defaultMemberUniqueName="[DimProductos].[ID Producto].[All]" allUniqueName="[DimProductos].[ID Producto].[All]" dimensionUniqueName="[DimProductos]" displayFolder="" count="0" memberValueDatatype="130" unbalanced="0"/>
    <cacheHierarchy uniqueName="[DimProductos].[Precio Unitario]" caption="Precio Unitario" attribute="1" defaultMemberUniqueName="[DimProductos].[Precio Unitario].[All]" allUniqueName="[DimProductos].[Precio Unitario].[All]" dimensionUniqueName="[DimProductos]" displayFolder="" count="0" memberValueDatatype="5" unbalanced="0"/>
    <cacheHierarchy uniqueName="[DimProductos].[Producto]" caption="Producto" attribute="1" defaultMemberUniqueName="[DimProductos].[Producto].[All]" allUniqueName="[DimProductos].[Producto].[All]" dimensionUniqueName="[DimProductos]" displayFolder="" count="0" memberValueDatatype="130" unbalanced="0"/>
    <cacheHierarchy uniqueName="[Medidas].[Medidas]" caption="Medidas" attribute="1" defaultMemberUniqueName="[Medidas].[Medidas].[All]" allUniqueName="[Medidas].[Medidas].[All]" dimensionUniqueName="[Medidas]" displayFolder="" count="0" memberValueDatatype="130" unbalanced="0"/>
    <cacheHierarchy uniqueName="[ThVentas].[Cantidad]" caption="Cantidad" attribute="1" defaultMemberUniqueName="[ThVentas].[Cantidad].[All]" allUniqueName="[ThVentas].[Cantidad].[All]" dimensionUniqueName="[ThVentas]" displayFolder="" count="0" memberValueDatatype="20" unbalanced="0"/>
    <cacheHierarchy uniqueName="[ThVentas].[Categoría]" caption="Categoría" attribute="1" defaultMemberUniqueName="[ThVentas].[Categoría].[All]" allUniqueName="[ThVentas].[Categoría].[All]" dimensionUniqueName="[ThVentas]" displayFolder="" count="2" memberValueDatatype="130" unbalanced="0">
      <fieldsUsage count="2">
        <fieldUsage x="-1"/>
        <fieldUsage x="0"/>
      </fieldsUsage>
    </cacheHierarchy>
    <cacheHierarchy uniqueName="[ThVentas].[Cliente]" caption="Cliente" attribute="1" defaultMemberUniqueName="[ThVentas].[Cliente].[All]" allUniqueName="[ThVentas].[Cliente].[All]" dimensionUniqueName="[ThVentas]" displayFolder="" count="0" memberValueDatatype="130" unbalanced="0"/>
    <cacheHierarchy uniqueName="[ThVentas].[Costo Total]" caption="Costo Total" attribute="1" defaultMemberUniqueName="[ThVentas].[Costo Total].[All]" allUniqueName="[ThVentas].[Costo Total].[All]" dimensionUniqueName="[ThVentas]" displayFolder="" count="0" memberValueDatatype="5" unbalanced="0"/>
    <cacheHierarchy uniqueName="[ThVentas].[Descuento]" caption="Descuento" attribute="1" defaultMemberUniqueName="[ThVentas].[Descuento].[All]" allUniqueName="[ThVentas].[Descuento].[All]" dimensionUniqueName="[ThVentas]" displayFolder="" count="0" memberValueDatatype="5" unbalanced="0"/>
    <cacheHierarchy uniqueName="[ThVentas].[Fecha]" caption="Fecha" attribute="1" time="1" defaultMemberUniqueName="[ThVentas].[Fecha].[All]" allUniqueName="[ThVentas].[Fecha].[All]" dimensionUniqueName="[ThVentas]" displayFolder="" count="2" memberValueDatatype="7" unbalanced="0">
      <fieldsUsage count="2">
        <fieldUsage x="-1"/>
        <fieldUsage x="2"/>
      </fieldsUsage>
    </cacheHierarchy>
    <cacheHierarchy uniqueName="[ThVentas].[Fecha (año)]" caption="Fecha (año)" attribute="1" defaultMemberUniqueName="[ThVentas].[Fecha (año)].[All]" allUniqueName="[ThVentas].[Fecha (año)].[All]" dimensionUniqueName="[ThVentas]" displayFolder="" count="0" memberValueDatatype="130" unbalanced="0"/>
    <cacheHierarchy uniqueName="[ThVentas].[Fecha (mes)]" caption="Fecha (mes)" attribute="1" defaultMemberUniqueName="[ThVentas].[Fecha (mes)].[All]" allUniqueName="[ThVentas].[Fecha (mes)].[All]" dimensionUniqueName="[ThVentas]" displayFolder="" count="0" memberValueDatatype="130" unbalanced="0"/>
    <cacheHierarchy uniqueName="[ThVentas].[Fecha (trimestre)]" caption="Fecha (trimestre)" attribute="1" defaultMemberUniqueName="[ThVentas].[Fecha (trimestre)].[All]" allUniqueName="[ThVentas].[Fecha (trimestre)].[All]" dimensionUniqueName="[ThVentas]" displayFolder="" count="0" memberValueDatatype="130" unbalanced="0"/>
    <cacheHierarchy uniqueName="[ThVentas].[ID Cliente]" caption="ID Cliente" attribute="1" defaultMemberUniqueName="[ThVentas].[ID Cliente].[All]" allUniqueName="[ThVentas].[ID Cliente].[All]" dimensionUniqueName="[ThVentas]" displayFolder="" count="0" memberValueDatatype="130" unbalanced="0"/>
    <cacheHierarchy uniqueName="[ThVentas].[ID Producto]" caption="ID Producto" attribute="1" defaultMemberUniqueName="[ThVentas].[ID Producto].[All]" allUniqueName="[ThVentas].[ID Producto].[All]" dimensionUniqueName="[ThVentas]" displayFolder="" count="0" memberValueDatatype="130" unbalanced="0"/>
    <cacheHierarchy uniqueName="[ThVentas].[ID Venta]" caption="ID Venta" attribute="1" defaultMemberUniqueName="[ThVentas].[ID Venta].[All]" allUniqueName="[ThVentas].[ID Venta].[All]" dimensionUniqueName="[ThVentas]" displayFolder="" count="0" memberValueDatatype="130" unbalanced="0"/>
    <cacheHierarchy uniqueName="[ThVentas].[Monto Venta]" caption="Monto Venta" attribute="1" defaultMemberUniqueName="[ThVentas].[Monto Venta].[All]" allUniqueName="[ThVentas].[Monto Venta].[All]" dimensionUniqueName="[ThVentas]" displayFolder="" count="0" memberValueDatatype="5" unbalanced="0"/>
    <cacheHierarchy uniqueName="[ThVentas].[Precio Unitario]" caption="Precio Unitario" attribute="1" defaultMemberUniqueName="[ThVentas].[Precio Unitario].[All]" allUniqueName="[ThVentas].[Precio Unitario].[All]" dimensionUniqueName="[ThVentas]" displayFolder="" count="0" memberValueDatatype="5" unbalanced="0"/>
    <cacheHierarchy uniqueName="[ThVentas].[Producto]" caption="Producto" attribute="1" defaultMemberUniqueName="[ThVentas].[Producto].[All]" allUniqueName="[ThVentas].[Producto].[All]" dimensionUniqueName="[ThVentas]" displayFolder="" count="0" memberValueDatatype="130" unbalanced="0"/>
    <cacheHierarchy uniqueName="[ThVentas].[Región]" caption="Región" attribute="1" defaultMemberUniqueName="[ThVentas].[Región].[All]" allUniqueName="[ThVentas].[Región].[All]" dimensionUniqueName="[ThVentas]" displayFolder="" count="2" memberValueDatatype="130" unbalanced="0">
      <fieldsUsage count="2">
        <fieldUsage x="-1"/>
        <fieldUsage x="3"/>
      </fieldsUsage>
    </cacheHierarchy>
    <cacheHierarchy uniqueName="[ThVentas].[Tipo de Cliente]" caption="Tipo de Cliente" attribute="1" defaultMemberUniqueName="[ThVentas].[Tipo de Cliente].[All]" allUniqueName="[ThVentas].[Tipo de Cliente].[All]" dimensionUniqueName="[ThVentas]" displayFolder="" count="0" memberValueDatatype="130" unbalanced="0"/>
    <cacheHierarchy uniqueName="[ThVentas].[Fecha (índice de meses)]" caption="Fecha (índice de meses)" attribute="1" defaultMemberUniqueName="[ThVentas].[Fecha (índice de meses)].[All]" allUniqueName="[ThVentas].[Fecha (índice de meses)].[All]" dimensionUniqueName="[ThVentas]" displayFolder="" count="0" memberValueDatatype="20" unbalanced="0" hidden="1"/>
    <cacheHierarchy uniqueName="[VentasOrigen].[Cantidad]" caption="Cantidad" attribute="1" defaultMemberUniqueName="[VentasOrigen].[Cantidad].[All]" allUniqueName="[VentasOrigen].[Cantidad].[All]" dimensionUniqueName="[VentasOrigen]" displayFolder="" count="0" memberValueDatatype="20" unbalanced="0" hidden="1"/>
    <cacheHierarchy uniqueName="[VentasOrigen].[Categoría]" caption="Categoría" attribute="1" defaultMemberUniqueName="[VentasOrigen].[Categoría].[All]" allUniqueName="[VentasOrigen].[Categoría].[All]" dimensionUniqueName="[VentasOrigen]" displayFolder="" count="0" memberValueDatatype="130" unbalanced="0" hidden="1"/>
    <cacheHierarchy uniqueName="[VentasOrigen].[Cliente]" caption="Cliente" attribute="1" defaultMemberUniqueName="[VentasOrigen].[Cliente].[All]" allUniqueName="[VentasOrigen].[Cliente].[All]" dimensionUniqueName="[VentasOrigen]" displayFolder="" count="0" memberValueDatatype="130" unbalanced="0" hidden="1"/>
    <cacheHierarchy uniqueName="[VentasOrigen].[Costo Total]" caption="Costo Total" attribute="1" defaultMemberUniqueName="[VentasOrigen].[Costo Total].[All]" allUniqueName="[VentasOrigen].[Costo Total].[All]" dimensionUniqueName="[VentasOrigen]" displayFolder="" count="0" memberValueDatatype="5" unbalanced="0" hidden="1"/>
    <cacheHierarchy uniqueName="[VentasOrigen].[Descuento]" caption="Descuento" attribute="1" defaultMemberUniqueName="[VentasOrigen].[Descuento].[All]" allUniqueName="[VentasOrigen].[Descuento].[All]" dimensionUniqueName="[VentasOrigen]" displayFolder="" count="0" memberValueDatatype="5" unbalanced="0" hidden="1"/>
    <cacheHierarchy uniqueName="[VentasOrigen].[Fecha]" caption="Fecha" attribute="1" time="1" defaultMemberUniqueName="[VentasOrigen].[Fecha].[All]" allUniqueName="[VentasOrigen].[Fecha].[All]" dimensionUniqueName="[VentasOrigen]" displayFolder="" count="0" memberValueDatatype="7" unbalanced="0" hidden="1"/>
    <cacheHierarchy uniqueName="[VentasOrigen].[ID Cliente]" caption="ID Cliente" attribute="1" defaultMemberUniqueName="[VentasOrigen].[ID Cliente].[All]" allUniqueName="[VentasOrigen].[ID Cliente].[All]" dimensionUniqueName="[VentasOrigen]" displayFolder="" count="0" memberValueDatatype="130" unbalanced="0" hidden="1"/>
    <cacheHierarchy uniqueName="[VentasOrigen].[ID Producto]" caption="ID Producto" attribute="1" defaultMemberUniqueName="[VentasOrigen].[ID Producto].[All]" allUniqueName="[VentasOrigen].[ID Producto].[All]" dimensionUniqueName="[VentasOrigen]" displayFolder="" count="0" memberValueDatatype="130" unbalanced="0" hidden="1"/>
    <cacheHierarchy uniqueName="[VentasOrigen].[ID Venta]" caption="ID Venta" attribute="1" defaultMemberUniqueName="[VentasOrigen].[ID Venta].[All]" allUniqueName="[VentasOrigen].[ID Venta].[All]" dimensionUniqueName="[VentasOrigen]" displayFolder="" count="0" memberValueDatatype="130" unbalanced="0" hidden="1"/>
    <cacheHierarchy uniqueName="[VentasOrigen].[Monto Venta]" caption="Monto Venta" attribute="1" defaultMemberUniqueName="[VentasOrigen].[Monto Venta].[All]" allUniqueName="[VentasOrigen].[Monto Venta].[All]" dimensionUniqueName="[VentasOrigen]" displayFolder="" count="0" memberValueDatatype="5" unbalanced="0" hidden="1"/>
    <cacheHierarchy uniqueName="[VentasOrigen].[Precio Unitario]" caption="Precio Unitario" attribute="1" defaultMemberUniqueName="[VentasOrigen].[Precio Unitario].[All]" allUniqueName="[VentasOrigen].[Precio Unitario].[All]" dimensionUniqueName="[VentasOrigen]" displayFolder="" count="0" memberValueDatatype="5" unbalanced="0" hidden="1"/>
    <cacheHierarchy uniqueName="[VentasOrigen].[Producto]" caption="Producto" attribute="1" defaultMemberUniqueName="[VentasOrigen].[Producto].[All]" allUniqueName="[VentasOrigen].[Producto].[All]" dimensionUniqueName="[VentasOrigen]" displayFolder="" count="0" memberValueDatatype="130" unbalanced="0" hidden="1"/>
    <cacheHierarchy uniqueName="[VentasOrigen].[Región]" caption="Región" attribute="1" defaultMemberUniqueName="[VentasOrigen].[Región].[All]" allUniqueName="[VentasOrigen].[Región].[All]" dimensionUniqueName="[VentasOrigen]" displayFolder="" count="0" memberValueDatatype="130" unbalanced="0" hidden="1"/>
    <cacheHierarchy uniqueName="[VentasOrigen].[Tipo de Cliente]" caption="Tipo de Cliente" attribute="1" defaultMemberUniqueName="[VentasOrigen].[Tipo de Cliente].[All]" allUniqueName="[VentasOrigen].[Tipo de Cliente].[All]" dimensionUniqueName="[VentasOrigen]" displayFolder="" count="0" memberValueDatatype="130" unbalanced="0" hidden="1"/>
    <cacheHierarchy uniqueName="[Measures].[Recuento de Categoría]" caption="Recuento de Categoría" measure="1" displayFolder="" measureGroup="ThVenta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Monto Venta 2]" caption="Suma de Monto Venta 2" measure="1" displayFolder="" measureGroup="ThVent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ontoTotalVentas]" caption="MontoTotalVentas" measure="1" displayFolder="" measureGroup="Medidas" count="0"/>
    <cacheHierarchy uniqueName="[Measures].[CostosTotales]" caption="CostosTotales" measure="1" displayFolder="" measureGroup="Medidas" count="0"/>
    <cacheHierarchy uniqueName="[Measures].[MargenNeto]" caption="MargenNeto" measure="1" displayFolder="" measureGroup="Medidas" count="0"/>
    <cacheHierarchy uniqueName="[Measures].[MargenPorcentual]" caption="MargenPorcentual" measure="1" displayFolder="" measureGroup="Medidas" count="0"/>
    <cacheHierarchy uniqueName="[Measures].[ClientesUnicos]" caption="ClientesUnicos" measure="1" displayFolder="" measureGroup="Medidas" count="0"/>
    <cacheHierarchy uniqueName="[Measures].[VentasAñoAnterior]" caption="VentasAñoAnterior" measure="1" displayFolder="" measureGroup="Medidas" count="0"/>
    <cacheHierarchy uniqueName="[Measures].[CrecimientoYoY]" caption="CrecimientoYoY" measure="1" displayFolder="" measureGroup="Medidas" count="0"/>
    <cacheHierarchy uniqueName="[Measures].[CantidadOperaciones]" caption="CantidadOperaciones" measure="1" displayFolder="" measureGroup="Medidas" count="0"/>
    <cacheHierarchy uniqueName="[Measures].[__XL_Count VentasOrigen]" caption="__XL_Count VentasOrigen" measure="1" displayFolder="" measureGroup="VentasOrigen" count="0" hidden="1"/>
    <cacheHierarchy uniqueName="[Measures].[__XL_Count ThVentas]" caption="__XL_Count ThVentas" measure="1" displayFolder="" measureGroup="ThVentas" count="0" hidden="1"/>
    <cacheHierarchy uniqueName="[Measures].[__XL_Count DimClientes]" caption="__XL_Count DimClientes" measure="1" displayFolder="" measureGroup="DimClientes" count="0" hidden="1"/>
    <cacheHierarchy uniqueName="[Measures].[__XL_Count DimProductos]" caption="__XL_Count DimProductos" measure="1" displayFolder="" measureGroup="DimProductos" count="0" hidden="1"/>
    <cacheHierarchy uniqueName="[Measures].[__XL_Count Calendar]" caption="__XL_Count Calendar" measure="1" displayFolder="" measureGroup="Calendar" count="0" hidden="1"/>
    <cacheHierarchy uniqueName="[Measures].[__XL_Count Medidas]" caption="__XL_Count Medidas" measure="1" displayFolder="" measureGroup="Medidas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name="DimClientes" uniqueName="[DimClientes]" caption="DimClientes"/>
    <dimension name="DimProductos" uniqueName="[DimProductos]" caption="DimProductos"/>
    <dimension measure="1" name="Measures" uniqueName="[Measures]" caption="Measures"/>
    <dimension name="Medidas" uniqueName="[Medidas]" caption="Medidas"/>
    <dimension name="ThVentas" uniqueName="[ThVentas]" caption="ThVentas"/>
  </dimensions>
  <measureGroups count="6">
    <measureGroup name="Calendar" caption="Calendar"/>
    <measureGroup name="DimClientes" caption="DimClientes"/>
    <measureGroup name="DimProductos" caption="DimProductos"/>
    <measureGroup name="Medidas" caption="Medidas"/>
    <measureGroup name="ThVentas" caption="ThVentas"/>
    <measureGroup name="VentasOrigen" caption="VentasOrigen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tin Lyko" refreshedDate="46299.628035185182" createdVersion="8" refreshedVersion="8" minRefreshableVersion="3" recordCount="0" supportSubquery="1" supportAdvancedDrill="1" xr:uid="{EC426BFC-EB54-4106-9FED-0CE478DDA058}">
  <cacheSource type="external" connectionId="7"/>
  <cacheFields count="5">
    <cacheField name="[Calendar].[MMM-YYYY].[MMM-YYYY]" caption="MMM-YYYY" numFmtId="0" hierarchy="4" level="1">
      <sharedItems count="24">
        <s v="abr-2025"/>
        <s v="abr-2026"/>
        <s v="ago-2025"/>
        <s v="ago-2026"/>
        <s v="dic-2025"/>
        <s v="dic-2026"/>
        <s v="ene-2025"/>
        <s v="ene-2026"/>
        <s v="feb-2025"/>
        <s v="feb-2026"/>
        <s v="jul-2025"/>
        <s v="jul-2026"/>
        <s v="jun-2025"/>
        <s v="jun-2026"/>
        <s v="mar-2025"/>
        <s v="mar-2026"/>
        <s v="may-2025"/>
        <s v="may-2026"/>
        <s v="nov-2025"/>
        <s v="nov-2026"/>
        <s v="oct-2025"/>
        <s v="oct-2026"/>
        <s v="sept-2025"/>
        <s v="sept-2026"/>
      </sharedItems>
    </cacheField>
    <cacheField name="[Measures].[MontoTotalVentas]" caption="MontoTotalVentas" numFmtId="0" hierarchy="51" level="32767"/>
    <cacheField name="[ThVentas].[Fecha].[Fecha]" caption="Fecha" numFmtId="0" hierarchy="22" level="1">
      <sharedItems containsSemiMixedTypes="0" containsNonDate="0" containsString="0"/>
    </cacheField>
    <cacheField name="[ThVentas].[Región].[Región]" caption="Región" numFmtId="0" hierarchy="32" level="1">
      <sharedItems containsSemiMixedTypes="0" containsNonDate="0" containsString="0"/>
    </cacheField>
    <cacheField name="[ThVentas].[Categoría].[Categoría]" caption="Categoría" numFmtId="0" hierarchy="18" level="1">
      <sharedItems containsSemiMixedTypes="0" containsNonDate="0" containsString="0"/>
    </cacheField>
  </cacheFields>
  <cacheHierarchies count="6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MMM-YYYY]" caption="MMM-YYYY" attribute="1" time="1" defaultMemberUniqueName="[Calendar].[MMM-YYYY].[All]" allUniqueName="[Calendar].[MMM-YYYY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DimClientes].[Cliente]" caption="Cliente" attribute="1" defaultMemberUniqueName="[DimClientes].[Cliente].[All]" allUniqueName="[DimClientes].[Cliente].[All]" dimensionUniqueName="[DimClientes]" displayFolder="" count="0" memberValueDatatype="130" unbalanced="0"/>
    <cacheHierarchy uniqueName="[DimClientes].[ID Cliente]" caption="ID Cliente" attribute="1" defaultMemberUniqueName="[DimClientes].[ID Cliente].[All]" allUniqueName="[DimClientes].[ID Cliente].[All]" dimensionUniqueName="[DimClientes]" displayFolder="" count="0" memberValueDatatype="130" unbalanced="0"/>
    <cacheHierarchy uniqueName="[DimClientes].[Región]" caption="Región" attribute="1" defaultMemberUniqueName="[DimClientes].[Región].[All]" allUniqueName="[DimClientes].[Región].[All]" dimensionUniqueName="[DimClientes]" displayFolder="" count="0" memberValueDatatype="130" unbalanced="0"/>
    <cacheHierarchy uniqueName="[DimClientes].[Tipo de Cliente]" caption="Tipo de Cliente" attribute="1" defaultMemberUniqueName="[DimClientes].[Tipo de Cliente].[All]" allUniqueName="[DimClientes].[Tipo de Cliente].[All]" dimensionUniqueName="[DimClientes]" displayFolder="" count="0" memberValueDatatype="130" unbalanced="0"/>
    <cacheHierarchy uniqueName="[DimProductos].[Categoría]" caption="Categoría" attribute="1" defaultMemberUniqueName="[DimProductos].[Categoría].[All]" allUniqueName="[DimProductos].[Categoría].[All]" dimensionUniqueName="[DimProductos]" displayFolder="" count="0" memberValueDatatype="130" unbalanced="0"/>
    <cacheHierarchy uniqueName="[DimProductos].[ID Producto]" caption="ID Producto" attribute="1" defaultMemberUniqueName="[DimProductos].[ID Producto].[All]" allUniqueName="[DimProductos].[ID Producto].[All]" dimensionUniqueName="[DimProductos]" displayFolder="" count="0" memberValueDatatype="130" unbalanced="0"/>
    <cacheHierarchy uniqueName="[DimProductos].[Precio Unitario]" caption="Precio Unitario" attribute="1" defaultMemberUniqueName="[DimProductos].[Precio Unitario].[All]" allUniqueName="[DimProductos].[Precio Unitario].[All]" dimensionUniqueName="[DimProductos]" displayFolder="" count="0" memberValueDatatype="5" unbalanced="0"/>
    <cacheHierarchy uniqueName="[DimProductos].[Producto]" caption="Producto" attribute="1" defaultMemberUniqueName="[DimProductos].[Producto].[All]" allUniqueName="[DimProductos].[Producto].[All]" dimensionUniqueName="[DimProductos]" displayFolder="" count="0" memberValueDatatype="130" unbalanced="0"/>
    <cacheHierarchy uniqueName="[Medidas].[Medidas]" caption="Medidas" attribute="1" defaultMemberUniqueName="[Medidas].[Medidas].[All]" allUniqueName="[Medidas].[Medidas].[All]" dimensionUniqueName="[Medidas]" displayFolder="" count="0" memberValueDatatype="130" unbalanced="0"/>
    <cacheHierarchy uniqueName="[ThVentas].[Cantidad]" caption="Cantidad" attribute="1" defaultMemberUniqueName="[ThVentas].[Cantidad].[All]" allUniqueName="[ThVentas].[Cantidad].[All]" dimensionUniqueName="[ThVentas]" displayFolder="" count="0" memberValueDatatype="20" unbalanced="0"/>
    <cacheHierarchy uniqueName="[ThVentas].[Categoría]" caption="Categoría" attribute="1" defaultMemberUniqueName="[ThVentas].[Categoría].[All]" allUniqueName="[ThVentas].[Categoría].[All]" dimensionUniqueName="[ThVentas]" displayFolder="" count="2" memberValueDatatype="130" unbalanced="0">
      <fieldsUsage count="2">
        <fieldUsage x="-1"/>
        <fieldUsage x="4"/>
      </fieldsUsage>
    </cacheHierarchy>
    <cacheHierarchy uniqueName="[ThVentas].[Cliente]" caption="Cliente" attribute="1" defaultMemberUniqueName="[ThVentas].[Cliente].[All]" allUniqueName="[ThVentas].[Cliente].[All]" dimensionUniqueName="[ThVentas]" displayFolder="" count="0" memberValueDatatype="130" unbalanced="0"/>
    <cacheHierarchy uniqueName="[ThVentas].[Costo Total]" caption="Costo Total" attribute="1" defaultMemberUniqueName="[ThVentas].[Costo Total].[All]" allUniqueName="[ThVentas].[Costo Total].[All]" dimensionUniqueName="[ThVentas]" displayFolder="" count="0" memberValueDatatype="5" unbalanced="0"/>
    <cacheHierarchy uniqueName="[ThVentas].[Descuento]" caption="Descuento" attribute="1" defaultMemberUniqueName="[ThVentas].[Descuento].[All]" allUniqueName="[ThVentas].[Descuento].[All]" dimensionUniqueName="[ThVentas]" displayFolder="" count="0" memberValueDatatype="5" unbalanced="0"/>
    <cacheHierarchy uniqueName="[ThVentas].[Fecha]" caption="Fecha" attribute="1" time="1" defaultMemberUniqueName="[ThVentas].[Fecha].[All]" allUniqueName="[ThVentas].[Fecha].[All]" dimensionUniqueName="[ThVentas]" displayFolder="" count="2" memberValueDatatype="7" unbalanced="0">
      <fieldsUsage count="2">
        <fieldUsage x="-1"/>
        <fieldUsage x="2"/>
      </fieldsUsage>
    </cacheHierarchy>
    <cacheHierarchy uniqueName="[ThVentas].[Fecha (año)]" caption="Fecha (año)" attribute="1" defaultMemberUniqueName="[ThVentas].[Fecha (año)].[All]" allUniqueName="[ThVentas].[Fecha (año)].[All]" dimensionUniqueName="[ThVentas]" displayFolder="" count="0" memberValueDatatype="130" unbalanced="0"/>
    <cacheHierarchy uniqueName="[ThVentas].[Fecha (mes)]" caption="Fecha (mes)" attribute="1" defaultMemberUniqueName="[ThVentas].[Fecha (mes)].[All]" allUniqueName="[ThVentas].[Fecha (mes)].[All]" dimensionUniqueName="[ThVentas]" displayFolder="" count="0" memberValueDatatype="130" unbalanced="0"/>
    <cacheHierarchy uniqueName="[ThVentas].[Fecha (trimestre)]" caption="Fecha (trimestre)" attribute="1" defaultMemberUniqueName="[ThVentas].[Fecha (trimestre)].[All]" allUniqueName="[ThVentas].[Fecha (trimestre)].[All]" dimensionUniqueName="[ThVentas]" displayFolder="" count="0" memberValueDatatype="130" unbalanced="0"/>
    <cacheHierarchy uniqueName="[ThVentas].[ID Cliente]" caption="ID Cliente" attribute="1" defaultMemberUniqueName="[ThVentas].[ID Cliente].[All]" allUniqueName="[ThVentas].[ID Cliente].[All]" dimensionUniqueName="[ThVentas]" displayFolder="" count="0" memberValueDatatype="130" unbalanced="0"/>
    <cacheHierarchy uniqueName="[ThVentas].[ID Producto]" caption="ID Producto" attribute="1" defaultMemberUniqueName="[ThVentas].[ID Producto].[All]" allUniqueName="[ThVentas].[ID Producto].[All]" dimensionUniqueName="[ThVentas]" displayFolder="" count="0" memberValueDatatype="130" unbalanced="0"/>
    <cacheHierarchy uniqueName="[ThVentas].[ID Venta]" caption="ID Venta" attribute="1" defaultMemberUniqueName="[ThVentas].[ID Venta].[All]" allUniqueName="[ThVentas].[ID Venta].[All]" dimensionUniqueName="[ThVentas]" displayFolder="" count="0" memberValueDatatype="130" unbalanced="0"/>
    <cacheHierarchy uniqueName="[ThVentas].[Monto Venta]" caption="Monto Venta" attribute="1" defaultMemberUniqueName="[ThVentas].[Monto Venta].[All]" allUniqueName="[ThVentas].[Monto Venta].[All]" dimensionUniqueName="[ThVentas]" displayFolder="" count="0" memberValueDatatype="5" unbalanced="0"/>
    <cacheHierarchy uniqueName="[ThVentas].[Precio Unitario]" caption="Precio Unitario" attribute="1" defaultMemberUniqueName="[ThVentas].[Precio Unitario].[All]" allUniqueName="[ThVentas].[Precio Unitario].[All]" dimensionUniqueName="[ThVentas]" displayFolder="" count="0" memberValueDatatype="5" unbalanced="0"/>
    <cacheHierarchy uniqueName="[ThVentas].[Producto]" caption="Producto" attribute="1" defaultMemberUniqueName="[ThVentas].[Producto].[All]" allUniqueName="[ThVentas].[Producto].[All]" dimensionUniqueName="[ThVentas]" displayFolder="" count="0" memberValueDatatype="130" unbalanced="0"/>
    <cacheHierarchy uniqueName="[ThVentas].[Región]" caption="Región" attribute="1" defaultMemberUniqueName="[ThVentas].[Región].[All]" allUniqueName="[ThVentas].[Región].[All]" dimensionUniqueName="[ThVentas]" displayFolder="" count="2" memberValueDatatype="130" unbalanced="0">
      <fieldsUsage count="2">
        <fieldUsage x="-1"/>
        <fieldUsage x="3"/>
      </fieldsUsage>
    </cacheHierarchy>
    <cacheHierarchy uniqueName="[ThVentas].[Tipo de Cliente]" caption="Tipo de Cliente" attribute="1" defaultMemberUniqueName="[ThVentas].[Tipo de Cliente].[All]" allUniqueName="[ThVentas].[Tipo de Cliente].[All]" dimensionUniqueName="[ThVentas]" displayFolder="" count="0" memberValueDatatype="130" unbalanced="0"/>
    <cacheHierarchy uniqueName="[ThVentas].[Fecha (índice de meses)]" caption="Fecha (índice de meses)" attribute="1" defaultMemberUniqueName="[ThVentas].[Fecha (índice de meses)].[All]" allUniqueName="[ThVentas].[Fecha (índice de meses)].[All]" dimensionUniqueName="[ThVentas]" displayFolder="" count="0" memberValueDatatype="20" unbalanced="0" hidden="1"/>
    <cacheHierarchy uniqueName="[VentasOrigen].[Cantidad]" caption="Cantidad" attribute="1" defaultMemberUniqueName="[VentasOrigen].[Cantidad].[All]" allUniqueName="[VentasOrigen].[Cantidad].[All]" dimensionUniqueName="[VentasOrigen]" displayFolder="" count="0" memberValueDatatype="20" unbalanced="0" hidden="1"/>
    <cacheHierarchy uniqueName="[VentasOrigen].[Categoría]" caption="Categoría" attribute="1" defaultMemberUniqueName="[VentasOrigen].[Categoría].[All]" allUniqueName="[VentasOrigen].[Categoría].[All]" dimensionUniqueName="[VentasOrigen]" displayFolder="" count="0" memberValueDatatype="130" unbalanced="0" hidden="1"/>
    <cacheHierarchy uniqueName="[VentasOrigen].[Cliente]" caption="Cliente" attribute="1" defaultMemberUniqueName="[VentasOrigen].[Cliente].[All]" allUniqueName="[VentasOrigen].[Cliente].[All]" dimensionUniqueName="[VentasOrigen]" displayFolder="" count="0" memberValueDatatype="130" unbalanced="0" hidden="1"/>
    <cacheHierarchy uniqueName="[VentasOrigen].[Costo Total]" caption="Costo Total" attribute="1" defaultMemberUniqueName="[VentasOrigen].[Costo Total].[All]" allUniqueName="[VentasOrigen].[Costo Total].[All]" dimensionUniqueName="[VentasOrigen]" displayFolder="" count="0" memberValueDatatype="5" unbalanced="0" hidden="1"/>
    <cacheHierarchy uniqueName="[VentasOrigen].[Descuento]" caption="Descuento" attribute="1" defaultMemberUniqueName="[VentasOrigen].[Descuento].[All]" allUniqueName="[VentasOrigen].[Descuento].[All]" dimensionUniqueName="[VentasOrigen]" displayFolder="" count="0" memberValueDatatype="5" unbalanced="0" hidden="1"/>
    <cacheHierarchy uniqueName="[VentasOrigen].[Fecha]" caption="Fecha" attribute="1" time="1" defaultMemberUniqueName="[VentasOrigen].[Fecha].[All]" allUniqueName="[VentasOrigen].[Fecha].[All]" dimensionUniqueName="[VentasOrigen]" displayFolder="" count="0" memberValueDatatype="7" unbalanced="0" hidden="1"/>
    <cacheHierarchy uniqueName="[VentasOrigen].[ID Cliente]" caption="ID Cliente" attribute="1" defaultMemberUniqueName="[VentasOrigen].[ID Cliente].[All]" allUniqueName="[VentasOrigen].[ID Cliente].[All]" dimensionUniqueName="[VentasOrigen]" displayFolder="" count="0" memberValueDatatype="130" unbalanced="0" hidden="1"/>
    <cacheHierarchy uniqueName="[VentasOrigen].[ID Producto]" caption="ID Producto" attribute="1" defaultMemberUniqueName="[VentasOrigen].[ID Producto].[All]" allUniqueName="[VentasOrigen].[ID Producto].[All]" dimensionUniqueName="[VentasOrigen]" displayFolder="" count="0" memberValueDatatype="130" unbalanced="0" hidden="1"/>
    <cacheHierarchy uniqueName="[VentasOrigen].[ID Venta]" caption="ID Venta" attribute="1" defaultMemberUniqueName="[VentasOrigen].[ID Venta].[All]" allUniqueName="[VentasOrigen].[ID Venta].[All]" dimensionUniqueName="[VentasOrigen]" displayFolder="" count="0" memberValueDatatype="130" unbalanced="0" hidden="1"/>
    <cacheHierarchy uniqueName="[VentasOrigen].[Monto Venta]" caption="Monto Venta" attribute="1" defaultMemberUniqueName="[VentasOrigen].[Monto Venta].[All]" allUniqueName="[VentasOrigen].[Monto Venta].[All]" dimensionUniqueName="[VentasOrigen]" displayFolder="" count="0" memberValueDatatype="5" unbalanced="0" hidden="1"/>
    <cacheHierarchy uniqueName="[VentasOrigen].[Precio Unitario]" caption="Precio Unitario" attribute="1" defaultMemberUniqueName="[VentasOrigen].[Precio Unitario].[All]" allUniqueName="[VentasOrigen].[Precio Unitario].[All]" dimensionUniqueName="[VentasOrigen]" displayFolder="" count="0" memberValueDatatype="5" unbalanced="0" hidden="1"/>
    <cacheHierarchy uniqueName="[VentasOrigen].[Producto]" caption="Producto" attribute="1" defaultMemberUniqueName="[VentasOrigen].[Producto].[All]" allUniqueName="[VentasOrigen].[Producto].[All]" dimensionUniqueName="[VentasOrigen]" displayFolder="" count="0" memberValueDatatype="130" unbalanced="0" hidden="1"/>
    <cacheHierarchy uniqueName="[VentasOrigen].[Región]" caption="Región" attribute="1" defaultMemberUniqueName="[VentasOrigen].[Región].[All]" allUniqueName="[VentasOrigen].[Región].[All]" dimensionUniqueName="[VentasOrigen]" displayFolder="" count="0" memberValueDatatype="130" unbalanced="0" hidden="1"/>
    <cacheHierarchy uniqueName="[VentasOrigen].[Tipo de Cliente]" caption="Tipo de Cliente" attribute="1" defaultMemberUniqueName="[VentasOrigen].[Tipo de Cliente].[All]" allUniqueName="[VentasOrigen].[Tipo de Cliente].[All]" dimensionUniqueName="[VentasOrigen]" displayFolder="" count="0" memberValueDatatype="130" unbalanced="0" hidden="1"/>
    <cacheHierarchy uniqueName="[Measures].[Recuento de Categoría]" caption="Recuento de Categoría" measure="1" displayFolder="" measureGroup="ThVenta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Monto Venta 2]" caption="Suma de Monto Venta 2" measure="1" displayFolder="" measureGroup="ThVenta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ontoTotalVentas]" caption="MontoTotalVentas" measure="1" displayFolder="" measureGroup="Medidas" count="0" oneField="1">
      <fieldsUsage count="1">
        <fieldUsage x="1"/>
      </fieldsUsage>
    </cacheHierarchy>
    <cacheHierarchy uniqueName="[Measures].[CostosTotales]" caption="CostosTotales" measure="1" displayFolder="" measureGroup="Medidas" count="0"/>
    <cacheHierarchy uniqueName="[Measures].[MargenNeto]" caption="MargenNeto" measure="1" displayFolder="" measureGroup="Medidas" count="0"/>
    <cacheHierarchy uniqueName="[Measures].[MargenPorcentual]" caption="MargenPorcentual" measure="1" displayFolder="" measureGroup="Medidas" count="0"/>
    <cacheHierarchy uniqueName="[Measures].[ClientesUnicos]" caption="ClientesUnicos" measure="1" displayFolder="" measureGroup="Medidas" count="0"/>
    <cacheHierarchy uniqueName="[Measures].[VentasAñoAnterior]" caption="VentasAñoAnterior" measure="1" displayFolder="" measureGroup="Medidas" count="0"/>
    <cacheHierarchy uniqueName="[Measures].[CrecimientoYoY]" caption="CrecimientoYoY" measure="1" displayFolder="" measureGroup="Medidas" count="0"/>
    <cacheHierarchy uniqueName="[Measures].[CantidadOperaciones]" caption="CantidadOperaciones" measure="1" displayFolder="" measureGroup="Medidas" count="0"/>
    <cacheHierarchy uniqueName="[Measures].[__XL_Count VentasOrigen]" caption="__XL_Count VentasOrigen" measure="1" displayFolder="" measureGroup="VentasOrigen" count="0" hidden="1"/>
    <cacheHierarchy uniqueName="[Measures].[__XL_Count ThVentas]" caption="__XL_Count ThVentas" measure="1" displayFolder="" measureGroup="ThVentas" count="0" hidden="1"/>
    <cacheHierarchy uniqueName="[Measures].[__XL_Count DimClientes]" caption="__XL_Count DimClientes" measure="1" displayFolder="" measureGroup="DimClientes" count="0" hidden="1"/>
    <cacheHierarchy uniqueName="[Measures].[__XL_Count DimProductos]" caption="__XL_Count DimProductos" measure="1" displayFolder="" measureGroup="DimProductos" count="0" hidden="1"/>
    <cacheHierarchy uniqueName="[Measures].[__XL_Count Calendar]" caption="__XL_Count Calendar" measure="1" displayFolder="" measureGroup="Calendar" count="0" hidden="1"/>
    <cacheHierarchy uniqueName="[Measures].[__XL_Count Medidas]" caption="__XL_Count Medidas" measure="1" displayFolder="" measureGroup="Medidas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name="DimClientes" uniqueName="[DimClientes]" caption="DimClientes"/>
    <dimension name="DimProductos" uniqueName="[DimProductos]" caption="DimProductos"/>
    <dimension measure="1" name="Measures" uniqueName="[Measures]" caption="Measures"/>
    <dimension name="Medidas" uniqueName="[Medidas]" caption="Medidas"/>
    <dimension name="ThVentas" uniqueName="[ThVentas]" caption="ThVentas"/>
  </dimensions>
  <measureGroups count="6">
    <measureGroup name="Calendar" caption="Calendar"/>
    <measureGroup name="DimClientes" caption="DimClientes"/>
    <measureGroup name="DimProductos" caption="DimProductos"/>
    <measureGroup name="Medidas" caption="Medidas"/>
    <measureGroup name="ThVentas" caption="ThVentas"/>
    <measureGroup name="VentasOrigen" caption="VentasOrigen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tin Lyko" refreshedDate="46299.661864930553" createdVersion="8" refreshedVersion="8" minRefreshableVersion="3" recordCount="0" supportSubquery="1" supportAdvancedDrill="1" xr:uid="{7194754B-48DF-46D9-ABCC-50C2664A4D39}">
  <cacheSource type="external" connectionId="7"/>
  <cacheFields count="4">
    <cacheField name="[Measures].[Suma de Monto Venta 2]" caption="Suma de Monto Venta 2" numFmtId="0" hierarchy="50" level="32767"/>
    <cacheField name="[ThVentas].[Fecha].[Fecha]" caption="Fecha" numFmtId="0" hierarchy="22" level="1">
      <sharedItems containsSemiMixedTypes="0" containsNonDate="0" containsDate="1" containsString="0" minDate="2025-01-04T00:00:00" maxDate="2027-01-01T00:00:00" count="104">
        <d v="2025-01-04T00:00:00"/>
        <d v="2025-01-18T00:00:00"/>
        <d v="2025-01-26T00:00:00"/>
        <d v="2025-02-11T00:00:00"/>
        <d v="2025-03-16T00:00:00"/>
        <d v="2025-03-20T00:00:00"/>
        <d v="2025-03-21T00:00:00"/>
        <d v="2025-03-29T00:00:00"/>
        <d v="2025-04-04T00:00:00"/>
        <d v="2025-04-06T00:00:00"/>
        <d v="2025-04-07T00:00:00"/>
        <d v="2025-04-13T00:00:00"/>
        <d v="2025-04-14T00:00:00"/>
        <d v="2025-04-20T00:00:00"/>
        <d v="2025-04-28T00:00:00"/>
        <d v="2025-05-03T00:00:00"/>
        <d v="2025-05-06T00:00:00"/>
        <d v="2025-05-11T00:00:00"/>
        <d v="2025-05-17T00:00:00"/>
        <d v="2025-05-26T00:00:00"/>
        <d v="2025-06-02T00:00:00"/>
        <d v="2025-06-05T00:00:00"/>
        <d v="2025-06-08T00:00:00"/>
        <d v="2025-06-13T00:00:00"/>
        <d v="2025-06-15T00:00:00"/>
        <d v="2025-06-18T00:00:00"/>
        <d v="2025-07-16T00:00:00"/>
        <d v="2025-07-23T00:00:00"/>
        <d v="2025-08-02T00:00:00"/>
        <d v="2025-08-10T00:00:00"/>
        <d v="2025-09-01T00:00:00"/>
        <d v="2025-09-06T00:00:00"/>
        <d v="2025-09-14T00:00:00"/>
        <d v="2025-10-11T00:00:00"/>
        <d v="2025-10-28T00:00:00"/>
        <d v="2025-11-04T00:00:00"/>
        <d v="2025-11-07T00:00:00"/>
        <d v="2025-11-12T00:00:00"/>
        <d v="2025-11-13T00:00:00"/>
        <d v="2025-11-16T00:00:00"/>
        <d v="2025-11-17T00:00:00"/>
        <d v="2025-11-19T00:00:00"/>
        <d v="2025-11-21T00:00:00"/>
        <d v="2025-12-04T00:00:00"/>
        <d v="2025-12-06T00:00:00"/>
        <d v="2025-12-09T00:00:00"/>
        <d v="2025-12-14T00:00:00"/>
        <d v="2025-12-24T00:00:00"/>
        <d v="2026-01-04T00:00:00"/>
        <d v="2026-01-17T00:00:00"/>
        <d v="2026-01-20T00:00:00"/>
        <d v="2026-02-06T00:00:00"/>
        <d v="2026-02-11T00:00:00"/>
        <d v="2026-02-16T00:00:00"/>
        <d v="2026-02-17T00:00:00"/>
        <d v="2026-02-22T00:00:00"/>
        <d v="2026-03-01T00:00:00"/>
        <d v="2026-03-02T00:00:00"/>
        <d v="2026-03-10T00:00:00"/>
        <d v="2026-03-16T00:00:00"/>
        <d v="2026-03-22T00:00:00"/>
        <d v="2026-03-24T00:00:00"/>
        <d v="2026-03-28T00:00:00"/>
        <d v="2026-03-30T00:00:00"/>
        <d v="2026-04-01T00:00:00"/>
        <d v="2026-04-03T00:00:00"/>
        <d v="2026-04-20T00:00:00"/>
        <d v="2026-05-01T00:00:00"/>
        <d v="2026-05-07T00:00:00"/>
        <d v="2026-05-08T00:00:00"/>
        <d v="2026-05-16T00:00:00"/>
        <d v="2026-05-20T00:00:00"/>
        <d v="2026-05-24T00:00:00"/>
        <d v="2026-05-27T00:00:00"/>
        <d v="2026-06-17T00:00:00"/>
        <d v="2026-07-03T00:00:00"/>
        <d v="2026-07-08T00:00:00"/>
        <d v="2026-07-15T00:00:00"/>
        <d v="2026-08-06T00:00:00"/>
        <d v="2026-08-13T00:00:00"/>
        <d v="2026-08-19T00:00:00"/>
        <d v="2026-08-26T00:00:00"/>
        <d v="2026-09-15T00:00:00"/>
        <d v="2026-09-19T00:00:00"/>
        <d v="2026-09-29T00:00:00"/>
        <d v="2026-10-01T00:00:00"/>
        <d v="2026-10-02T00:00:00"/>
        <d v="2026-10-04T00:00:00"/>
        <d v="2026-10-07T00:00:00"/>
        <d v="2026-10-10T00:00:00"/>
        <d v="2026-10-15T00:00:00"/>
        <d v="2026-10-19T00:00:00"/>
        <d v="2026-10-29T00:00:00"/>
        <d v="2026-10-31T00:00:00"/>
        <d v="2026-11-13T00:00:00"/>
        <d v="2026-11-25T00:00:00"/>
        <d v="2026-12-02T00:00:00"/>
        <d v="2026-12-07T00:00:00"/>
        <d v="2026-12-08T00:00:00"/>
        <d v="2026-12-12T00:00:00"/>
        <d v="2026-12-13T00:00:00"/>
        <d v="2026-12-15T00:00:00"/>
        <d v="2026-12-23T00:00:00"/>
        <d v="2026-12-31T00:00:00"/>
      </sharedItems>
    </cacheField>
    <cacheField name="[ThVentas].[Fecha (mes)].[Fecha (mes)]" caption="Fecha (mes)" numFmtId="0" hierarchy="24" level="1">
      <sharedItems count="12">
        <s v="ene"/>
        <s v="feb"/>
        <s v="mar"/>
        <s v="abr"/>
        <s v="may"/>
        <s v="jun"/>
        <s v="jul"/>
        <s v="ago"/>
        <s v="sept"/>
        <s v="oct"/>
        <s v="nov"/>
        <s v="dic"/>
      </sharedItems>
    </cacheField>
    <cacheField name="[ThVentas].[Fecha (año)].[Fecha (año)]" caption="Fecha (año)" numFmtId="0" hierarchy="23" level="1">
      <sharedItems count="2">
        <s v="2025"/>
        <s v="2026"/>
      </sharedItems>
    </cacheField>
  </cacheFields>
  <cacheHierarchies count="6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DimClientes].[Cliente]" caption="Cliente" attribute="1" defaultMemberUniqueName="[DimClientes].[Cliente].[All]" allUniqueName="[DimClientes].[Cliente].[All]" dimensionUniqueName="[DimClientes]" displayFolder="" count="0" memberValueDatatype="130" unbalanced="0"/>
    <cacheHierarchy uniqueName="[DimClientes].[ID Cliente]" caption="ID Cliente" attribute="1" defaultMemberUniqueName="[DimClientes].[ID Cliente].[All]" allUniqueName="[DimClientes].[ID Cliente].[All]" dimensionUniqueName="[DimClientes]" displayFolder="" count="0" memberValueDatatype="130" unbalanced="0"/>
    <cacheHierarchy uniqueName="[DimClientes].[Región]" caption="Región" attribute="1" defaultMemberUniqueName="[DimClientes].[Región].[All]" allUniqueName="[DimClientes].[Región].[All]" dimensionUniqueName="[DimClientes]" displayFolder="" count="0" memberValueDatatype="130" unbalanced="0"/>
    <cacheHierarchy uniqueName="[DimClientes].[Tipo de Cliente]" caption="Tipo de Cliente" attribute="1" defaultMemberUniqueName="[DimClientes].[Tipo de Cliente].[All]" allUniqueName="[DimClientes].[Tipo de Cliente].[All]" dimensionUniqueName="[DimClientes]" displayFolder="" count="0" memberValueDatatype="130" unbalanced="0"/>
    <cacheHierarchy uniqueName="[DimProductos].[Categoría]" caption="Categoría" attribute="1" defaultMemberUniqueName="[DimProductos].[Categoría].[All]" allUniqueName="[DimProductos].[Categoría].[All]" dimensionUniqueName="[DimProductos]" displayFolder="" count="0" memberValueDatatype="130" unbalanced="0"/>
    <cacheHierarchy uniqueName="[DimProductos].[ID Producto]" caption="ID Producto" attribute="1" defaultMemberUniqueName="[DimProductos].[ID Producto].[All]" allUniqueName="[DimProductos].[ID Producto].[All]" dimensionUniqueName="[DimProductos]" displayFolder="" count="0" memberValueDatatype="130" unbalanced="0"/>
    <cacheHierarchy uniqueName="[DimProductos].[Precio Unitario]" caption="Precio Unitario" attribute="1" defaultMemberUniqueName="[DimProductos].[Precio Unitario].[All]" allUniqueName="[DimProductos].[Precio Unitario].[All]" dimensionUniqueName="[DimProductos]" displayFolder="" count="0" memberValueDatatype="5" unbalanced="0"/>
    <cacheHierarchy uniqueName="[DimProductos].[Producto]" caption="Producto" attribute="1" defaultMemberUniqueName="[DimProductos].[Producto].[All]" allUniqueName="[DimProductos].[Producto].[All]" dimensionUniqueName="[DimProductos]" displayFolder="" count="0" memberValueDatatype="130" unbalanced="0"/>
    <cacheHierarchy uniqueName="[Medidas].[Medidas]" caption="Medidas" attribute="1" defaultMemberUniqueName="[Medidas].[Medidas].[All]" allUniqueName="[Medidas].[Medidas].[All]" dimensionUniqueName="[Medidas]" displayFolder="" count="0" memberValueDatatype="130" unbalanced="0"/>
    <cacheHierarchy uniqueName="[ThVentas].[Cantidad]" caption="Cantidad" attribute="1" defaultMemberUniqueName="[ThVentas].[Cantidad].[All]" allUniqueName="[ThVentas].[Cantidad].[All]" dimensionUniqueName="[ThVentas]" displayFolder="" count="0" memberValueDatatype="20" unbalanced="0"/>
    <cacheHierarchy uniqueName="[ThVentas].[Categoría]" caption="Categoría" attribute="1" defaultMemberUniqueName="[ThVentas].[Categoría].[All]" allUniqueName="[ThVentas].[Categoría].[All]" dimensionUniqueName="[ThVentas]" displayFolder="" count="0" memberValueDatatype="130" unbalanced="0"/>
    <cacheHierarchy uniqueName="[ThVentas].[Cliente]" caption="Cliente" attribute="1" defaultMemberUniqueName="[ThVentas].[Cliente].[All]" allUniqueName="[ThVentas].[Cliente].[All]" dimensionUniqueName="[ThVentas]" displayFolder="" count="0" memberValueDatatype="130" unbalanced="0"/>
    <cacheHierarchy uniqueName="[ThVentas].[Costo Total]" caption="Costo Total" attribute="1" defaultMemberUniqueName="[ThVentas].[Costo Total].[All]" allUniqueName="[ThVentas].[Costo Total].[All]" dimensionUniqueName="[ThVentas]" displayFolder="" count="0" memberValueDatatype="5" unbalanced="0"/>
    <cacheHierarchy uniqueName="[ThVentas].[Descuento]" caption="Descuento" attribute="1" defaultMemberUniqueName="[ThVentas].[Descuento].[All]" allUniqueName="[ThVentas].[Descuento].[All]" dimensionUniqueName="[ThVentas]" displayFolder="" count="0" memberValueDatatype="5" unbalanced="0"/>
    <cacheHierarchy uniqueName="[ThVentas].[Fecha]" caption="Fecha" attribute="1" time="1" defaultMemberUniqueName="[ThVentas].[Fecha].[All]" allUniqueName="[ThVentas].[Fecha].[All]" dimensionUniqueName="[ThVentas]" displayFolder="" count="2" memberValueDatatype="7" unbalanced="0">
      <fieldsUsage count="2">
        <fieldUsage x="-1"/>
        <fieldUsage x="1"/>
      </fieldsUsage>
    </cacheHierarchy>
    <cacheHierarchy uniqueName="[ThVentas].[Fecha (año)]" caption="Fecha (año)" attribute="1" defaultMemberUniqueName="[ThVentas].[Fecha (año)].[All]" allUniqueName="[ThVentas].[Fecha (año)].[All]" dimensionUniqueName="[ThVentas]" displayFolder="" count="2" memberValueDatatype="130" unbalanced="0">
      <fieldsUsage count="2">
        <fieldUsage x="-1"/>
        <fieldUsage x="3"/>
      </fieldsUsage>
    </cacheHierarchy>
    <cacheHierarchy uniqueName="[ThVentas].[Fecha (mes)]" caption="Fecha (mes)" attribute="1" defaultMemberUniqueName="[ThVentas].[Fecha (mes)].[All]" allUniqueName="[ThVentas].[Fecha (mes)].[All]" dimensionUniqueName="[ThVentas]" displayFolder="" count="2" memberValueDatatype="130" unbalanced="0">
      <fieldsUsage count="2">
        <fieldUsage x="-1"/>
        <fieldUsage x="2"/>
      </fieldsUsage>
    </cacheHierarchy>
    <cacheHierarchy uniqueName="[ThVentas].[Fecha (trimestre)]" caption="Fecha (trimestre)" attribute="1" defaultMemberUniqueName="[ThVentas].[Fecha (trimestre)].[All]" allUniqueName="[ThVentas].[Fecha (trimestre)].[All]" dimensionUniqueName="[ThVentas]" displayFolder="" count="2" memberValueDatatype="130" unbalanced="0"/>
    <cacheHierarchy uniqueName="[ThVentas].[ID Cliente]" caption="ID Cliente" attribute="1" defaultMemberUniqueName="[ThVentas].[ID Cliente].[All]" allUniqueName="[ThVentas].[ID Cliente].[All]" dimensionUniqueName="[ThVentas]" displayFolder="" count="0" memberValueDatatype="130" unbalanced="0"/>
    <cacheHierarchy uniqueName="[ThVentas].[ID Producto]" caption="ID Producto" attribute="1" defaultMemberUniqueName="[ThVentas].[ID Producto].[All]" allUniqueName="[ThVentas].[ID Producto].[All]" dimensionUniqueName="[ThVentas]" displayFolder="" count="0" memberValueDatatype="130" unbalanced="0"/>
    <cacheHierarchy uniqueName="[ThVentas].[ID Venta]" caption="ID Venta" attribute="1" defaultMemberUniqueName="[ThVentas].[ID Venta].[All]" allUniqueName="[ThVentas].[ID Venta].[All]" dimensionUniqueName="[ThVentas]" displayFolder="" count="0" memberValueDatatype="130" unbalanced="0"/>
    <cacheHierarchy uniqueName="[ThVentas].[Monto Venta]" caption="Monto Venta" attribute="1" defaultMemberUniqueName="[ThVentas].[Monto Venta].[All]" allUniqueName="[ThVentas].[Monto Venta].[All]" dimensionUniqueName="[ThVentas]" displayFolder="" count="0" memberValueDatatype="5" unbalanced="0"/>
    <cacheHierarchy uniqueName="[ThVentas].[Precio Unitario]" caption="Precio Unitario" attribute="1" defaultMemberUniqueName="[ThVentas].[Precio Unitario].[All]" allUniqueName="[ThVentas].[Precio Unitario].[All]" dimensionUniqueName="[ThVentas]" displayFolder="" count="0" memberValueDatatype="5" unbalanced="0"/>
    <cacheHierarchy uniqueName="[ThVentas].[Producto]" caption="Producto" attribute="1" defaultMemberUniqueName="[ThVentas].[Producto].[All]" allUniqueName="[ThVentas].[Producto].[All]" dimensionUniqueName="[ThVentas]" displayFolder="" count="0" memberValueDatatype="130" unbalanced="0"/>
    <cacheHierarchy uniqueName="[ThVentas].[Región]" caption="Región" attribute="1" defaultMemberUniqueName="[ThVentas].[Región].[All]" allUniqueName="[ThVentas].[Región].[All]" dimensionUniqueName="[ThVentas]" displayFolder="" count="0" memberValueDatatype="130" unbalanced="0"/>
    <cacheHierarchy uniqueName="[ThVentas].[Tipo de Cliente]" caption="Tipo de Cliente" attribute="1" defaultMemberUniqueName="[ThVentas].[Tipo de Cliente].[All]" allUniqueName="[ThVentas].[Tipo de Cliente].[All]" dimensionUniqueName="[ThVentas]" displayFolder="" count="0" memberValueDatatype="130" unbalanced="0"/>
    <cacheHierarchy uniqueName="[ThVentas].[Fecha (índice de meses)]" caption="Fecha (índice de meses)" attribute="1" defaultMemberUniqueName="[ThVentas].[Fecha (índice de meses)].[All]" allUniqueName="[ThVentas].[Fecha (índice de meses)].[All]" dimensionUniqueName="[ThVentas]" displayFolder="" count="0" memberValueDatatype="20" unbalanced="0" hidden="1"/>
    <cacheHierarchy uniqueName="[VentasOrigen].[Cantidad]" caption="Cantidad" attribute="1" defaultMemberUniqueName="[VentasOrigen].[Cantidad].[All]" allUniqueName="[VentasOrigen].[Cantidad].[All]" dimensionUniqueName="[VentasOrigen]" displayFolder="" count="0" memberValueDatatype="20" unbalanced="0" hidden="1"/>
    <cacheHierarchy uniqueName="[VentasOrigen].[Categoría]" caption="Categoría" attribute="1" defaultMemberUniqueName="[VentasOrigen].[Categoría].[All]" allUniqueName="[VentasOrigen].[Categoría].[All]" dimensionUniqueName="[VentasOrigen]" displayFolder="" count="0" memberValueDatatype="130" unbalanced="0" hidden="1"/>
    <cacheHierarchy uniqueName="[VentasOrigen].[Cliente]" caption="Cliente" attribute="1" defaultMemberUniqueName="[VentasOrigen].[Cliente].[All]" allUniqueName="[VentasOrigen].[Cliente].[All]" dimensionUniqueName="[VentasOrigen]" displayFolder="" count="0" memberValueDatatype="130" unbalanced="0" hidden="1"/>
    <cacheHierarchy uniqueName="[VentasOrigen].[Costo Total]" caption="Costo Total" attribute="1" defaultMemberUniqueName="[VentasOrigen].[Costo Total].[All]" allUniqueName="[VentasOrigen].[Costo Total].[All]" dimensionUniqueName="[VentasOrigen]" displayFolder="" count="0" memberValueDatatype="5" unbalanced="0" hidden="1"/>
    <cacheHierarchy uniqueName="[VentasOrigen].[Descuento]" caption="Descuento" attribute="1" defaultMemberUniqueName="[VentasOrigen].[Descuento].[All]" allUniqueName="[VentasOrigen].[Descuento].[All]" dimensionUniqueName="[VentasOrigen]" displayFolder="" count="0" memberValueDatatype="5" unbalanced="0" hidden="1"/>
    <cacheHierarchy uniqueName="[VentasOrigen].[Fecha]" caption="Fecha" attribute="1" time="1" defaultMemberUniqueName="[VentasOrigen].[Fecha].[All]" allUniqueName="[VentasOrigen].[Fecha].[All]" dimensionUniqueName="[VentasOrigen]" displayFolder="" count="0" memberValueDatatype="7" unbalanced="0" hidden="1"/>
    <cacheHierarchy uniqueName="[VentasOrigen].[ID Cliente]" caption="ID Cliente" attribute="1" defaultMemberUniqueName="[VentasOrigen].[ID Cliente].[All]" allUniqueName="[VentasOrigen].[ID Cliente].[All]" dimensionUniqueName="[VentasOrigen]" displayFolder="" count="0" memberValueDatatype="130" unbalanced="0" hidden="1"/>
    <cacheHierarchy uniqueName="[VentasOrigen].[ID Producto]" caption="ID Producto" attribute="1" defaultMemberUniqueName="[VentasOrigen].[ID Producto].[All]" allUniqueName="[VentasOrigen].[ID Producto].[All]" dimensionUniqueName="[VentasOrigen]" displayFolder="" count="0" memberValueDatatype="130" unbalanced="0" hidden="1"/>
    <cacheHierarchy uniqueName="[VentasOrigen].[ID Venta]" caption="ID Venta" attribute="1" defaultMemberUniqueName="[VentasOrigen].[ID Venta].[All]" allUniqueName="[VentasOrigen].[ID Venta].[All]" dimensionUniqueName="[VentasOrigen]" displayFolder="" count="0" memberValueDatatype="130" unbalanced="0" hidden="1"/>
    <cacheHierarchy uniqueName="[VentasOrigen].[Monto Venta]" caption="Monto Venta" attribute="1" defaultMemberUniqueName="[VentasOrigen].[Monto Venta].[All]" allUniqueName="[VentasOrigen].[Monto Venta].[All]" dimensionUniqueName="[VentasOrigen]" displayFolder="" count="0" memberValueDatatype="5" unbalanced="0" hidden="1"/>
    <cacheHierarchy uniqueName="[VentasOrigen].[Precio Unitario]" caption="Precio Unitario" attribute="1" defaultMemberUniqueName="[VentasOrigen].[Precio Unitario].[All]" allUniqueName="[VentasOrigen].[Precio Unitario].[All]" dimensionUniqueName="[VentasOrigen]" displayFolder="" count="0" memberValueDatatype="5" unbalanced="0" hidden="1"/>
    <cacheHierarchy uniqueName="[VentasOrigen].[Producto]" caption="Producto" attribute="1" defaultMemberUniqueName="[VentasOrigen].[Producto].[All]" allUniqueName="[VentasOrigen].[Producto].[All]" dimensionUniqueName="[VentasOrigen]" displayFolder="" count="0" memberValueDatatype="130" unbalanced="0" hidden="1"/>
    <cacheHierarchy uniqueName="[VentasOrigen].[Región]" caption="Región" attribute="1" defaultMemberUniqueName="[VentasOrigen].[Región].[All]" allUniqueName="[VentasOrigen].[Región].[All]" dimensionUniqueName="[VentasOrigen]" displayFolder="" count="0" memberValueDatatype="130" unbalanced="0" hidden="1"/>
    <cacheHierarchy uniqueName="[VentasOrigen].[Tipo de Cliente]" caption="Tipo de Cliente" attribute="1" defaultMemberUniqueName="[VentasOrigen].[Tipo de Cliente].[All]" allUniqueName="[VentasOrigen].[Tipo de Cliente].[All]" dimensionUniqueName="[VentasOrigen]" displayFolder="" count="0" memberValueDatatype="130" unbalanced="0" hidden="1"/>
    <cacheHierarchy uniqueName="[Measures].[Recuento de Categoría]" caption="Recuento de Categoría" measure="1" displayFolder="" measureGroup="ThVenta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Monto Venta 2]" caption="Suma de Monto Venta 2" measure="1" displayFolder="" measureGroup="ThVenta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ontoTotalVentas]" caption="MontoTotalVentas" measure="1" displayFolder="" measureGroup="Medidas" count="0"/>
    <cacheHierarchy uniqueName="[Measures].[CostosTotales]" caption="CostosTotales" measure="1" displayFolder="" measureGroup="Medidas" count="0"/>
    <cacheHierarchy uniqueName="[Measures].[MargenNeto]" caption="MargenNeto" measure="1" displayFolder="" measureGroup="Medidas" count="0"/>
    <cacheHierarchy uniqueName="[Measures].[MargenPorcentual]" caption="MargenPorcentual" measure="1" displayFolder="" measureGroup="Medidas" count="0"/>
    <cacheHierarchy uniqueName="[Measures].[ClientesUnicos]" caption="ClientesUnicos" measure="1" displayFolder="" measureGroup="Medidas" count="0"/>
    <cacheHierarchy uniqueName="[Measures].[VentasAñoAnterior]" caption="VentasAñoAnterior" measure="1" displayFolder="" measureGroup="Medidas" count="0"/>
    <cacheHierarchy uniqueName="[Measures].[CrecimientoYoY]" caption="CrecimientoYoY" measure="1" displayFolder="" measureGroup="Medidas" count="0"/>
    <cacheHierarchy uniqueName="[Measures].[CantidadOperaciones]" caption="CantidadOperaciones" measure="1" displayFolder="" measureGroup="Medidas" count="0"/>
    <cacheHierarchy uniqueName="[Measures].[__XL_Count VentasOrigen]" caption="__XL_Count VentasOrigen" measure="1" displayFolder="" measureGroup="VentasOrigen" count="0" hidden="1"/>
    <cacheHierarchy uniqueName="[Measures].[__XL_Count ThVentas]" caption="__XL_Count ThVentas" measure="1" displayFolder="" measureGroup="ThVentas" count="0" hidden="1"/>
    <cacheHierarchy uniqueName="[Measures].[__XL_Count DimClientes]" caption="__XL_Count DimClientes" measure="1" displayFolder="" measureGroup="DimClientes" count="0" hidden="1"/>
    <cacheHierarchy uniqueName="[Measures].[__XL_Count DimProductos]" caption="__XL_Count DimProductos" measure="1" displayFolder="" measureGroup="DimProductos" count="0" hidden="1"/>
    <cacheHierarchy uniqueName="[Measures].[__XL_Count Calendar]" caption="__XL_Count Calendar" measure="1" displayFolder="" measureGroup="Calendar" count="0" hidden="1"/>
    <cacheHierarchy uniqueName="[Measures].[__XL_Count Medidas]" caption="__XL_Count Medidas" measure="1" displayFolder="" measureGroup="Medidas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name="DimClientes" uniqueName="[DimClientes]" caption="DimClientes"/>
    <dimension name="DimProductos" uniqueName="[DimProductos]" caption="DimProductos"/>
    <dimension measure="1" name="Measures" uniqueName="[Measures]" caption="Measures"/>
    <dimension name="Medidas" uniqueName="[Medidas]" caption="Medidas"/>
    <dimension name="ThVentas" uniqueName="[ThVentas]" caption="ThVentas"/>
  </dimensions>
  <measureGroups count="6">
    <measureGroup name="Calendar" caption="Calendar"/>
    <measureGroup name="DimClientes" caption="DimClientes"/>
    <measureGroup name="DimProductos" caption="DimProductos"/>
    <measureGroup name="Medidas" caption="Medidas"/>
    <measureGroup name="ThVentas" caption="ThVentas"/>
    <measureGroup name="VentasOrigen" caption="VentasOrigen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tin Lyko" refreshedDate="46299.628027662038" createdVersion="3" refreshedVersion="8" minRefreshableVersion="3" recordCount="0" supportSubquery="1" supportAdvancedDrill="1" xr:uid="{AC0DF91F-5919-4406-8042-676709E273D8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DimClientes].[Cliente]" caption="Cliente" attribute="1" defaultMemberUniqueName="[DimClientes].[Cliente].[All]" allUniqueName="[DimClientes].[Cliente].[All]" dimensionUniqueName="[DimClientes]" displayFolder="" count="0" memberValueDatatype="130" unbalanced="0"/>
    <cacheHierarchy uniqueName="[DimClientes].[ID Cliente]" caption="ID Cliente" attribute="1" defaultMemberUniqueName="[DimClientes].[ID Cliente].[All]" allUniqueName="[DimClientes].[ID Cliente].[All]" dimensionUniqueName="[DimClientes]" displayFolder="" count="0" memberValueDatatype="130" unbalanced="0"/>
    <cacheHierarchy uniqueName="[DimClientes].[Región]" caption="Región" attribute="1" defaultMemberUniqueName="[DimClientes].[Región].[All]" allUniqueName="[DimClientes].[Región].[All]" dimensionUniqueName="[DimClientes]" displayFolder="" count="0" memberValueDatatype="130" unbalanced="0"/>
    <cacheHierarchy uniqueName="[DimClientes].[Tipo de Cliente]" caption="Tipo de Cliente" attribute="1" defaultMemberUniqueName="[DimClientes].[Tipo de Cliente].[All]" allUniqueName="[DimClientes].[Tipo de Cliente].[All]" dimensionUniqueName="[DimClientes]" displayFolder="" count="0" memberValueDatatype="130" unbalanced="0"/>
    <cacheHierarchy uniqueName="[DimProductos].[Categoría]" caption="Categoría" attribute="1" defaultMemberUniqueName="[DimProductos].[Categoría].[All]" allUniqueName="[DimProductos].[Categoría].[All]" dimensionUniqueName="[DimProductos]" displayFolder="" count="0" memberValueDatatype="130" unbalanced="0"/>
    <cacheHierarchy uniqueName="[DimProductos].[ID Producto]" caption="ID Producto" attribute="1" defaultMemberUniqueName="[DimProductos].[ID Producto].[All]" allUniqueName="[DimProductos].[ID Producto].[All]" dimensionUniqueName="[DimProductos]" displayFolder="" count="0" memberValueDatatype="130" unbalanced="0"/>
    <cacheHierarchy uniqueName="[DimProductos].[Precio Unitario]" caption="Precio Unitario" attribute="1" defaultMemberUniqueName="[DimProductos].[Precio Unitario].[All]" allUniqueName="[DimProductos].[Precio Unitario].[All]" dimensionUniqueName="[DimProductos]" displayFolder="" count="0" memberValueDatatype="5" unbalanced="0"/>
    <cacheHierarchy uniqueName="[DimProductos].[Producto]" caption="Producto" attribute="1" defaultMemberUniqueName="[DimProductos].[Producto].[All]" allUniqueName="[DimProductos].[Producto].[All]" dimensionUniqueName="[DimProductos]" displayFolder="" count="0" memberValueDatatype="130" unbalanced="0"/>
    <cacheHierarchy uniqueName="[Medidas].[Medidas]" caption="Medidas" attribute="1" defaultMemberUniqueName="[Medidas].[Medidas].[All]" allUniqueName="[Medidas].[Medidas].[All]" dimensionUniqueName="[Medidas]" displayFolder="" count="0" memberValueDatatype="130" unbalanced="0"/>
    <cacheHierarchy uniqueName="[ThVentas].[Cantidad]" caption="Cantidad" attribute="1" defaultMemberUniqueName="[ThVentas].[Cantidad].[All]" allUniqueName="[ThVentas].[Cantidad].[All]" dimensionUniqueName="[ThVentas]" displayFolder="" count="0" memberValueDatatype="20" unbalanced="0"/>
    <cacheHierarchy uniqueName="[ThVentas].[Categoría]" caption="Categoría" attribute="1" defaultMemberUniqueName="[ThVentas].[Categoría].[All]" allUniqueName="[ThVentas].[Categoría].[All]" dimensionUniqueName="[ThVentas]" displayFolder="" count="2" memberValueDatatype="130" unbalanced="0"/>
    <cacheHierarchy uniqueName="[ThVentas].[Cliente]" caption="Cliente" attribute="1" defaultMemberUniqueName="[ThVentas].[Cliente].[All]" allUniqueName="[ThVentas].[Cliente].[All]" dimensionUniqueName="[ThVentas]" displayFolder="" count="0" memberValueDatatype="130" unbalanced="0"/>
    <cacheHierarchy uniqueName="[ThVentas].[Costo Total]" caption="Costo Total" attribute="1" defaultMemberUniqueName="[ThVentas].[Costo Total].[All]" allUniqueName="[ThVentas].[Costo Total].[All]" dimensionUniqueName="[ThVentas]" displayFolder="" count="0" memberValueDatatype="5" unbalanced="0"/>
    <cacheHierarchy uniqueName="[ThVentas].[Descuento]" caption="Descuento" attribute="1" defaultMemberUniqueName="[ThVentas].[Descuento].[All]" allUniqueName="[ThVentas].[Descuento].[All]" dimensionUniqueName="[ThVentas]" displayFolder="" count="0" memberValueDatatype="5" unbalanced="0"/>
    <cacheHierarchy uniqueName="[ThVentas].[Fecha]" caption="Fecha" attribute="1" time="1" defaultMemberUniqueName="[ThVentas].[Fecha].[All]" allUniqueName="[ThVentas].[Fecha].[All]" dimensionUniqueName="[ThVentas]" displayFolder="" count="0" memberValueDatatype="7" unbalanced="0"/>
    <cacheHierarchy uniqueName="[ThVentas].[Fecha (año)]" caption="Fecha (año)" attribute="1" defaultMemberUniqueName="[ThVentas].[Fecha (año)].[All]" allUniqueName="[ThVentas].[Fecha (año)].[All]" dimensionUniqueName="[ThVentas]" displayFolder="" count="0" memberValueDatatype="130" unbalanced="0"/>
    <cacheHierarchy uniqueName="[ThVentas].[Fecha (mes)]" caption="Fecha (mes)" attribute="1" defaultMemberUniqueName="[ThVentas].[Fecha (mes)].[All]" allUniqueName="[ThVentas].[Fecha (mes)].[All]" dimensionUniqueName="[ThVentas]" displayFolder="" count="0" memberValueDatatype="130" unbalanced="0"/>
    <cacheHierarchy uniqueName="[ThVentas].[Fecha (trimestre)]" caption="Fecha (trimestre)" attribute="1" defaultMemberUniqueName="[ThVentas].[Fecha (trimestre)].[All]" allUniqueName="[ThVentas].[Fecha (trimestre)].[All]" dimensionUniqueName="[ThVentas]" displayFolder="" count="0" memberValueDatatype="130" unbalanced="0"/>
    <cacheHierarchy uniqueName="[ThVentas].[ID Cliente]" caption="ID Cliente" attribute="1" defaultMemberUniqueName="[ThVentas].[ID Cliente].[All]" allUniqueName="[ThVentas].[ID Cliente].[All]" dimensionUniqueName="[ThVentas]" displayFolder="" count="0" memberValueDatatype="130" unbalanced="0"/>
    <cacheHierarchy uniqueName="[ThVentas].[ID Producto]" caption="ID Producto" attribute="1" defaultMemberUniqueName="[ThVentas].[ID Producto].[All]" allUniqueName="[ThVentas].[ID Producto].[All]" dimensionUniqueName="[ThVentas]" displayFolder="" count="0" memberValueDatatype="130" unbalanced="0"/>
    <cacheHierarchy uniqueName="[ThVentas].[ID Venta]" caption="ID Venta" attribute="1" defaultMemberUniqueName="[ThVentas].[ID Venta].[All]" allUniqueName="[ThVentas].[ID Venta].[All]" dimensionUniqueName="[ThVentas]" displayFolder="" count="0" memberValueDatatype="130" unbalanced="0"/>
    <cacheHierarchy uniqueName="[ThVentas].[Monto Venta]" caption="Monto Venta" attribute="1" defaultMemberUniqueName="[ThVentas].[Monto Venta].[All]" allUniqueName="[ThVentas].[Monto Venta].[All]" dimensionUniqueName="[ThVentas]" displayFolder="" count="0" memberValueDatatype="5" unbalanced="0"/>
    <cacheHierarchy uniqueName="[ThVentas].[Precio Unitario]" caption="Precio Unitario" attribute="1" defaultMemberUniqueName="[ThVentas].[Precio Unitario].[All]" allUniqueName="[ThVentas].[Precio Unitario].[All]" dimensionUniqueName="[ThVentas]" displayFolder="" count="0" memberValueDatatype="5" unbalanced="0"/>
    <cacheHierarchy uniqueName="[ThVentas].[Producto]" caption="Producto" attribute="1" defaultMemberUniqueName="[ThVentas].[Producto].[All]" allUniqueName="[ThVentas].[Producto].[All]" dimensionUniqueName="[ThVentas]" displayFolder="" count="0" memberValueDatatype="130" unbalanced="0"/>
    <cacheHierarchy uniqueName="[ThVentas].[Región]" caption="Región" attribute="1" defaultMemberUniqueName="[ThVentas].[Región].[All]" allUniqueName="[ThVentas].[Región].[All]" dimensionUniqueName="[ThVentas]" displayFolder="" count="2" memberValueDatatype="130" unbalanced="0"/>
    <cacheHierarchy uniqueName="[ThVentas].[Tipo de Cliente]" caption="Tipo de Cliente" attribute="1" defaultMemberUniqueName="[ThVentas].[Tipo de Cliente].[All]" allUniqueName="[ThVentas].[Tipo de Cliente].[All]" dimensionUniqueName="[ThVentas]" displayFolder="" count="0" memberValueDatatype="130" unbalanced="0"/>
    <cacheHierarchy uniqueName="[ThVentas].[Fecha (índice de meses)]" caption="Fecha (índice de meses)" attribute="1" defaultMemberUniqueName="[ThVentas].[Fecha (índice de meses)].[All]" allUniqueName="[ThVentas].[Fecha (índice de meses)].[All]" dimensionUniqueName="[ThVentas]" displayFolder="" count="0" memberValueDatatype="20" unbalanced="0" hidden="1"/>
    <cacheHierarchy uniqueName="[VentasOrigen].[Cantidad]" caption="Cantidad" attribute="1" defaultMemberUniqueName="[VentasOrigen].[Cantidad].[All]" allUniqueName="[VentasOrigen].[Cantidad].[All]" dimensionUniqueName="[VentasOrigen]" displayFolder="" count="0" memberValueDatatype="20" unbalanced="0" hidden="1"/>
    <cacheHierarchy uniqueName="[VentasOrigen].[Categoría]" caption="Categoría" attribute="1" defaultMemberUniqueName="[VentasOrigen].[Categoría].[All]" allUniqueName="[VentasOrigen].[Categoría].[All]" dimensionUniqueName="[VentasOrigen]" displayFolder="" count="0" memberValueDatatype="130" unbalanced="0" hidden="1"/>
    <cacheHierarchy uniqueName="[VentasOrigen].[Cliente]" caption="Cliente" attribute="1" defaultMemberUniqueName="[VentasOrigen].[Cliente].[All]" allUniqueName="[VentasOrigen].[Cliente].[All]" dimensionUniqueName="[VentasOrigen]" displayFolder="" count="0" memberValueDatatype="130" unbalanced="0" hidden="1"/>
    <cacheHierarchy uniqueName="[VentasOrigen].[Costo Total]" caption="Costo Total" attribute="1" defaultMemberUniqueName="[VentasOrigen].[Costo Total].[All]" allUniqueName="[VentasOrigen].[Costo Total].[All]" dimensionUniqueName="[VentasOrigen]" displayFolder="" count="0" memberValueDatatype="5" unbalanced="0" hidden="1"/>
    <cacheHierarchy uniqueName="[VentasOrigen].[Descuento]" caption="Descuento" attribute="1" defaultMemberUniqueName="[VentasOrigen].[Descuento].[All]" allUniqueName="[VentasOrigen].[Descuento].[All]" dimensionUniqueName="[VentasOrigen]" displayFolder="" count="0" memberValueDatatype="5" unbalanced="0" hidden="1"/>
    <cacheHierarchy uniqueName="[VentasOrigen].[Fecha]" caption="Fecha" attribute="1" time="1" defaultMemberUniqueName="[VentasOrigen].[Fecha].[All]" allUniqueName="[VentasOrigen].[Fecha].[All]" dimensionUniqueName="[VentasOrigen]" displayFolder="" count="0" memberValueDatatype="7" unbalanced="0" hidden="1"/>
    <cacheHierarchy uniqueName="[VentasOrigen].[ID Cliente]" caption="ID Cliente" attribute="1" defaultMemberUniqueName="[VentasOrigen].[ID Cliente].[All]" allUniqueName="[VentasOrigen].[ID Cliente].[All]" dimensionUniqueName="[VentasOrigen]" displayFolder="" count="0" memberValueDatatype="130" unbalanced="0" hidden="1"/>
    <cacheHierarchy uniqueName="[VentasOrigen].[ID Producto]" caption="ID Producto" attribute="1" defaultMemberUniqueName="[VentasOrigen].[ID Producto].[All]" allUniqueName="[VentasOrigen].[ID Producto].[All]" dimensionUniqueName="[VentasOrigen]" displayFolder="" count="0" memberValueDatatype="130" unbalanced="0" hidden="1"/>
    <cacheHierarchy uniqueName="[VentasOrigen].[ID Venta]" caption="ID Venta" attribute="1" defaultMemberUniqueName="[VentasOrigen].[ID Venta].[All]" allUniqueName="[VentasOrigen].[ID Venta].[All]" dimensionUniqueName="[VentasOrigen]" displayFolder="" count="0" memberValueDatatype="130" unbalanced="0" hidden="1"/>
    <cacheHierarchy uniqueName="[VentasOrigen].[Monto Venta]" caption="Monto Venta" attribute="1" defaultMemberUniqueName="[VentasOrigen].[Monto Venta].[All]" allUniqueName="[VentasOrigen].[Monto Venta].[All]" dimensionUniqueName="[VentasOrigen]" displayFolder="" count="0" memberValueDatatype="5" unbalanced="0" hidden="1"/>
    <cacheHierarchy uniqueName="[VentasOrigen].[Precio Unitario]" caption="Precio Unitario" attribute="1" defaultMemberUniqueName="[VentasOrigen].[Precio Unitario].[All]" allUniqueName="[VentasOrigen].[Precio Unitario].[All]" dimensionUniqueName="[VentasOrigen]" displayFolder="" count="0" memberValueDatatype="5" unbalanced="0" hidden="1"/>
    <cacheHierarchy uniqueName="[VentasOrigen].[Producto]" caption="Producto" attribute="1" defaultMemberUniqueName="[VentasOrigen].[Producto].[All]" allUniqueName="[VentasOrigen].[Producto].[All]" dimensionUniqueName="[VentasOrigen]" displayFolder="" count="0" memberValueDatatype="130" unbalanced="0" hidden="1"/>
    <cacheHierarchy uniqueName="[VentasOrigen].[Región]" caption="Región" attribute="1" defaultMemberUniqueName="[VentasOrigen].[Región].[All]" allUniqueName="[VentasOrigen].[Región].[All]" dimensionUniqueName="[VentasOrigen]" displayFolder="" count="0" memberValueDatatype="130" unbalanced="0" hidden="1"/>
    <cacheHierarchy uniqueName="[VentasOrigen].[Tipo de Cliente]" caption="Tipo de Cliente" attribute="1" defaultMemberUniqueName="[VentasOrigen].[Tipo de Cliente].[All]" allUniqueName="[VentasOrigen].[Tipo de Cliente].[All]" dimensionUniqueName="[VentasOrigen]" displayFolder="" count="0" memberValueDatatype="130" unbalanced="0" hidden="1"/>
    <cacheHierarchy uniqueName="[Measures].[Recuento de Categoría]" caption="Recuento de Categoría" measure="1" displayFolder="" measureGroup="ThVenta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Monto Venta 2]" caption="Suma de Monto Venta 2" measure="1" displayFolder="" measureGroup="ThVenta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ontoTotalVentas]" caption="MontoTotalVentas" measure="1" displayFolder="" measureGroup="Medidas" count="0"/>
    <cacheHierarchy uniqueName="[Measures].[CostosTotales]" caption="CostosTotales" measure="1" displayFolder="" measureGroup="Medidas" count="0"/>
    <cacheHierarchy uniqueName="[Measures].[MargenNeto]" caption="MargenNeto" measure="1" displayFolder="" measureGroup="Medidas" count="0"/>
    <cacheHierarchy uniqueName="[Measures].[MargenPorcentual]" caption="MargenPorcentual" measure="1" displayFolder="" measureGroup="Medidas" count="0"/>
    <cacheHierarchy uniqueName="[Measures].[ClientesUnicos]" caption="ClientesUnicos" measure="1" displayFolder="" measureGroup="Medidas" count="0"/>
    <cacheHierarchy uniqueName="[Measures].[VentasAñoAnterior]" caption="VentasAñoAnterior" measure="1" displayFolder="" measureGroup="Medidas" count="0"/>
    <cacheHierarchy uniqueName="[Measures].[CrecimientoYoY]" caption="CrecimientoYoY" measure="1" displayFolder="" measureGroup="Medidas" count="0"/>
    <cacheHierarchy uniqueName="[Measures].[CantidadOperaciones]" caption="CantidadOperaciones" measure="1" displayFolder="" measureGroup="Medidas" count="0"/>
    <cacheHierarchy uniqueName="[Measures].[__XL_Count VentasOrigen]" caption="__XL_Count VentasOrigen" measure="1" displayFolder="" measureGroup="VentasOrigen" count="0" hidden="1"/>
    <cacheHierarchy uniqueName="[Measures].[__XL_Count ThVentas]" caption="__XL_Count ThVentas" measure="1" displayFolder="" measureGroup="ThVentas" count="0" hidden="1"/>
    <cacheHierarchy uniqueName="[Measures].[__XL_Count DimClientes]" caption="__XL_Count DimClientes" measure="1" displayFolder="" measureGroup="DimClientes" count="0" hidden="1"/>
    <cacheHierarchy uniqueName="[Measures].[__XL_Count DimProductos]" caption="__XL_Count DimProductos" measure="1" displayFolder="" measureGroup="DimProductos" count="0" hidden="1"/>
    <cacheHierarchy uniqueName="[Measures].[__XL_Count Calendar]" caption="__XL_Count Calendar" measure="1" displayFolder="" measureGroup="Calendar" count="0" hidden="1"/>
    <cacheHierarchy uniqueName="[Measures].[__XL_Count Medidas]" caption="__XL_Count Medidas" measure="1" displayFolder="" measureGroup="Medida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34239245"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tin Lyko" refreshedDate="46299.628028009261" createdVersion="3" refreshedVersion="8" minRefreshableVersion="3" recordCount="0" supportSubquery="1" supportAdvancedDrill="1" xr:uid="{A383AC1B-CE00-410D-9486-2E82B36C4639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DimClientes].[Cliente]" caption="Cliente" attribute="1" defaultMemberUniqueName="[DimClientes].[Cliente].[All]" allUniqueName="[DimClientes].[Cliente].[All]" dimensionUniqueName="[DimClientes]" displayFolder="" count="0" memberValueDatatype="130" unbalanced="0"/>
    <cacheHierarchy uniqueName="[DimClientes].[ID Cliente]" caption="ID Cliente" attribute="1" defaultMemberUniqueName="[DimClientes].[ID Cliente].[All]" allUniqueName="[DimClientes].[ID Cliente].[All]" dimensionUniqueName="[DimClientes]" displayFolder="" count="0" memberValueDatatype="130" unbalanced="0"/>
    <cacheHierarchy uniqueName="[DimClientes].[Región]" caption="Región" attribute="1" defaultMemberUniqueName="[DimClientes].[Región].[All]" allUniqueName="[DimClientes].[Región].[All]" dimensionUniqueName="[DimClientes]" displayFolder="" count="0" memberValueDatatype="130" unbalanced="0"/>
    <cacheHierarchy uniqueName="[DimClientes].[Tipo de Cliente]" caption="Tipo de Cliente" attribute="1" defaultMemberUniqueName="[DimClientes].[Tipo de Cliente].[All]" allUniqueName="[DimClientes].[Tipo de Cliente].[All]" dimensionUniqueName="[DimClientes]" displayFolder="" count="0" memberValueDatatype="130" unbalanced="0"/>
    <cacheHierarchy uniqueName="[DimProductos].[Categoría]" caption="Categoría" attribute="1" defaultMemberUniqueName="[DimProductos].[Categoría].[All]" allUniqueName="[DimProductos].[Categoría].[All]" dimensionUniqueName="[DimProductos]" displayFolder="" count="0" memberValueDatatype="130" unbalanced="0"/>
    <cacheHierarchy uniqueName="[DimProductos].[ID Producto]" caption="ID Producto" attribute="1" defaultMemberUniqueName="[DimProductos].[ID Producto].[All]" allUniqueName="[DimProductos].[ID Producto].[All]" dimensionUniqueName="[DimProductos]" displayFolder="" count="0" memberValueDatatype="130" unbalanced="0"/>
    <cacheHierarchy uniqueName="[DimProductos].[Precio Unitario]" caption="Precio Unitario" attribute="1" defaultMemberUniqueName="[DimProductos].[Precio Unitario].[All]" allUniqueName="[DimProductos].[Precio Unitario].[All]" dimensionUniqueName="[DimProductos]" displayFolder="" count="0" memberValueDatatype="5" unbalanced="0"/>
    <cacheHierarchy uniqueName="[DimProductos].[Producto]" caption="Producto" attribute="1" defaultMemberUniqueName="[DimProductos].[Producto].[All]" allUniqueName="[DimProductos].[Producto].[All]" dimensionUniqueName="[DimProductos]" displayFolder="" count="0" memberValueDatatype="130" unbalanced="0"/>
    <cacheHierarchy uniqueName="[Medidas].[Medidas]" caption="Medidas" attribute="1" defaultMemberUniqueName="[Medidas].[Medidas].[All]" allUniqueName="[Medidas].[Medidas].[All]" dimensionUniqueName="[Medidas]" displayFolder="" count="0" memberValueDatatype="130" unbalanced="0"/>
    <cacheHierarchy uniqueName="[ThVentas].[Cantidad]" caption="Cantidad" attribute="1" defaultMemberUniqueName="[ThVentas].[Cantidad].[All]" allUniqueName="[ThVentas].[Cantidad].[All]" dimensionUniqueName="[ThVentas]" displayFolder="" count="0" memberValueDatatype="20" unbalanced="0"/>
    <cacheHierarchy uniqueName="[ThVentas].[Categoría]" caption="Categoría" attribute="1" defaultMemberUniqueName="[ThVentas].[Categoría].[All]" allUniqueName="[ThVentas].[Categoría].[All]" dimensionUniqueName="[ThVentas]" displayFolder="" count="0" memberValueDatatype="130" unbalanced="0"/>
    <cacheHierarchy uniqueName="[ThVentas].[Cliente]" caption="Cliente" attribute="1" defaultMemberUniqueName="[ThVentas].[Cliente].[All]" allUniqueName="[ThVentas].[Cliente].[All]" dimensionUniqueName="[ThVentas]" displayFolder="" count="0" memberValueDatatype="130" unbalanced="0"/>
    <cacheHierarchy uniqueName="[ThVentas].[Costo Total]" caption="Costo Total" attribute="1" defaultMemberUniqueName="[ThVentas].[Costo Total].[All]" allUniqueName="[ThVentas].[Costo Total].[All]" dimensionUniqueName="[ThVentas]" displayFolder="" count="0" memberValueDatatype="5" unbalanced="0"/>
    <cacheHierarchy uniqueName="[ThVentas].[Descuento]" caption="Descuento" attribute="1" defaultMemberUniqueName="[ThVentas].[Descuento].[All]" allUniqueName="[ThVentas].[Descuento].[All]" dimensionUniqueName="[ThVentas]" displayFolder="" count="0" memberValueDatatype="5" unbalanced="0"/>
    <cacheHierarchy uniqueName="[ThVentas].[Fecha]" caption="Fecha" attribute="1" time="1" defaultMemberUniqueName="[ThVentas].[Fecha].[All]" allUniqueName="[ThVentas].[Fecha].[All]" dimensionUniqueName="[ThVentas]" displayFolder="" count="2" memberValueDatatype="7" unbalanced="0"/>
    <cacheHierarchy uniqueName="[ThVentas].[Fecha (año)]" caption="Fecha (año)" attribute="1" defaultMemberUniqueName="[ThVentas].[Fecha (año)].[All]" allUniqueName="[ThVentas].[Fecha (año)].[All]" dimensionUniqueName="[ThVentas]" displayFolder="" count="0" memberValueDatatype="130" unbalanced="0"/>
    <cacheHierarchy uniqueName="[ThVentas].[Fecha (mes)]" caption="Fecha (mes)" attribute="1" defaultMemberUniqueName="[ThVentas].[Fecha (mes)].[All]" allUniqueName="[ThVentas].[Fecha (mes)].[All]" dimensionUniqueName="[ThVentas]" displayFolder="" count="0" memberValueDatatype="130" unbalanced="0"/>
    <cacheHierarchy uniqueName="[ThVentas].[Fecha (trimestre)]" caption="Fecha (trimestre)" attribute="1" defaultMemberUniqueName="[ThVentas].[Fecha (trimestre)].[All]" allUniqueName="[ThVentas].[Fecha (trimestre)].[All]" dimensionUniqueName="[ThVentas]" displayFolder="" count="0" memberValueDatatype="130" unbalanced="0"/>
    <cacheHierarchy uniqueName="[ThVentas].[ID Cliente]" caption="ID Cliente" attribute="1" defaultMemberUniqueName="[ThVentas].[ID Cliente].[All]" allUniqueName="[ThVentas].[ID Cliente].[All]" dimensionUniqueName="[ThVentas]" displayFolder="" count="0" memberValueDatatype="130" unbalanced="0"/>
    <cacheHierarchy uniqueName="[ThVentas].[ID Producto]" caption="ID Producto" attribute="1" defaultMemberUniqueName="[ThVentas].[ID Producto].[All]" allUniqueName="[ThVentas].[ID Producto].[All]" dimensionUniqueName="[ThVentas]" displayFolder="" count="0" memberValueDatatype="130" unbalanced="0"/>
    <cacheHierarchy uniqueName="[ThVentas].[ID Venta]" caption="ID Venta" attribute="1" defaultMemberUniqueName="[ThVentas].[ID Venta].[All]" allUniqueName="[ThVentas].[ID Venta].[All]" dimensionUniqueName="[ThVentas]" displayFolder="" count="0" memberValueDatatype="130" unbalanced="0"/>
    <cacheHierarchy uniqueName="[ThVentas].[Monto Venta]" caption="Monto Venta" attribute="1" defaultMemberUniqueName="[ThVentas].[Monto Venta].[All]" allUniqueName="[ThVentas].[Monto Venta].[All]" dimensionUniqueName="[ThVentas]" displayFolder="" count="0" memberValueDatatype="5" unbalanced="0"/>
    <cacheHierarchy uniqueName="[ThVentas].[Precio Unitario]" caption="Precio Unitario" attribute="1" defaultMemberUniqueName="[ThVentas].[Precio Unitario].[All]" allUniqueName="[ThVentas].[Precio Unitario].[All]" dimensionUniqueName="[ThVentas]" displayFolder="" count="0" memberValueDatatype="5" unbalanced="0"/>
    <cacheHierarchy uniqueName="[ThVentas].[Producto]" caption="Producto" attribute="1" defaultMemberUniqueName="[ThVentas].[Producto].[All]" allUniqueName="[ThVentas].[Producto].[All]" dimensionUniqueName="[ThVentas]" displayFolder="" count="0" memberValueDatatype="130" unbalanced="0"/>
    <cacheHierarchy uniqueName="[ThVentas].[Región]" caption="Región" attribute="1" defaultMemberUniqueName="[ThVentas].[Región].[All]" allUniqueName="[ThVentas].[Región].[All]" dimensionUniqueName="[ThVentas]" displayFolder="" count="0" memberValueDatatype="130" unbalanced="0"/>
    <cacheHierarchy uniqueName="[ThVentas].[Tipo de Cliente]" caption="Tipo de Cliente" attribute="1" defaultMemberUniqueName="[ThVentas].[Tipo de Cliente].[All]" allUniqueName="[ThVentas].[Tipo de Cliente].[All]" dimensionUniqueName="[ThVentas]" displayFolder="" count="0" memberValueDatatype="130" unbalanced="0"/>
    <cacheHierarchy uniqueName="[ThVentas].[Fecha (índice de meses)]" caption="Fecha (índice de meses)" attribute="1" defaultMemberUniqueName="[ThVentas].[Fecha (índice de meses)].[All]" allUniqueName="[ThVentas].[Fecha (índice de meses)].[All]" dimensionUniqueName="[ThVentas]" displayFolder="" count="0" memberValueDatatype="20" unbalanced="0" hidden="1"/>
    <cacheHierarchy uniqueName="[VentasOrigen].[Cantidad]" caption="Cantidad" attribute="1" defaultMemberUniqueName="[VentasOrigen].[Cantidad].[All]" allUniqueName="[VentasOrigen].[Cantidad].[All]" dimensionUniqueName="[VentasOrigen]" displayFolder="" count="0" memberValueDatatype="20" unbalanced="0" hidden="1"/>
    <cacheHierarchy uniqueName="[VentasOrigen].[Categoría]" caption="Categoría" attribute="1" defaultMemberUniqueName="[VentasOrigen].[Categoría].[All]" allUniqueName="[VentasOrigen].[Categoría].[All]" dimensionUniqueName="[VentasOrigen]" displayFolder="" count="0" memberValueDatatype="130" unbalanced="0" hidden="1"/>
    <cacheHierarchy uniqueName="[VentasOrigen].[Cliente]" caption="Cliente" attribute="1" defaultMemberUniqueName="[VentasOrigen].[Cliente].[All]" allUniqueName="[VentasOrigen].[Cliente].[All]" dimensionUniqueName="[VentasOrigen]" displayFolder="" count="0" memberValueDatatype="130" unbalanced="0" hidden="1"/>
    <cacheHierarchy uniqueName="[VentasOrigen].[Costo Total]" caption="Costo Total" attribute="1" defaultMemberUniqueName="[VentasOrigen].[Costo Total].[All]" allUniqueName="[VentasOrigen].[Costo Total].[All]" dimensionUniqueName="[VentasOrigen]" displayFolder="" count="0" memberValueDatatype="5" unbalanced="0" hidden="1"/>
    <cacheHierarchy uniqueName="[VentasOrigen].[Descuento]" caption="Descuento" attribute="1" defaultMemberUniqueName="[VentasOrigen].[Descuento].[All]" allUniqueName="[VentasOrigen].[Descuento].[All]" dimensionUniqueName="[VentasOrigen]" displayFolder="" count="0" memberValueDatatype="5" unbalanced="0" hidden="1"/>
    <cacheHierarchy uniqueName="[VentasOrigen].[Fecha]" caption="Fecha" attribute="1" time="1" defaultMemberUniqueName="[VentasOrigen].[Fecha].[All]" allUniqueName="[VentasOrigen].[Fecha].[All]" dimensionUniqueName="[VentasOrigen]" displayFolder="" count="0" memberValueDatatype="7" unbalanced="0" hidden="1"/>
    <cacheHierarchy uniqueName="[VentasOrigen].[ID Cliente]" caption="ID Cliente" attribute="1" defaultMemberUniqueName="[VentasOrigen].[ID Cliente].[All]" allUniqueName="[VentasOrigen].[ID Cliente].[All]" dimensionUniqueName="[VentasOrigen]" displayFolder="" count="0" memberValueDatatype="130" unbalanced="0" hidden="1"/>
    <cacheHierarchy uniqueName="[VentasOrigen].[ID Producto]" caption="ID Producto" attribute="1" defaultMemberUniqueName="[VentasOrigen].[ID Producto].[All]" allUniqueName="[VentasOrigen].[ID Producto].[All]" dimensionUniqueName="[VentasOrigen]" displayFolder="" count="0" memberValueDatatype="130" unbalanced="0" hidden="1"/>
    <cacheHierarchy uniqueName="[VentasOrigen].[ID Venta]" caption="ID Venta" attribute="1" defaultMemberUniqueName="[VentasOrigen].[ID Venta].[All]" allUniqueName="[VentasOrigen].[ID Venta].[All]" dimensionUniqueName="[VentasOrigen]" displayFolder="" count="0" memberValueDatatype="130" unbalanced="0" hidden="1"/>
    <cacheHierarchy uniqueName="[VentasOrigen].[Monto Venta]" caption="Monto Venta" attribute="1" defaultMemberUniqueName="[VentasOrigen].[Monto Venta].[All]" allUniqueName="[VentasOrigen].[Monto Venta].[All]" dimensionUniqueName="[VentasOrigen]" displayFolder="" count="0" memberValueDatatype="5" unbalanced="0" hidden="1"/>
    <cacheHierarchy uniqueName="[VentasOrigen].[Precio Unitario]" caption="Precio Unitario" attribute="1" defaultMemberUniqueName="[VentasOrigen].[Precio Unitario].[All]" allUniqueName="[VentasOrigen].[Precio Unitario].[All]" dimensionUniqueName="[VentasOrigen]" displayFolder="" count="0" memberValueDatatype="5" unbalanced="0" hidden="1"/>
    <cacheHierarchy uniqueName="[VentasOrigen].[Producto]" caption="Producto" attribute="1" defaultMemberUniqueName="[VentasOrigen].[Producto].[All]" allUniqueName="[VentasOrigen].[Producto].[All]" dimensionUniqueName="[VentasOrigen]" displayFolder="" count="0" memberValueDatatype="130" unbalanced="0" hidden="1"/>
    <cacheHierarchy uniqueName="[VentasOrigen].[Región]" caption="Región" attribute="1" defaultMemberUniqueName="[VentasOrigen].[Región].[All]" allUniqueName="[VentasOrigen].[Región].[All]" dimensionUniqueName="[VentasOrigen]" displayFolder="" count="0" memberValueDatatype="130" unbalanced="0" hidden="1"/>
    <cacheHierarchy uniqueName="[VentasOrigen].[Tipo de Cliente]" caption="Tipo de Cliente" attribute="1" defaultMemberUniqueName="[VentasOrigen].[Tipo de Cliente].[All]" allUniqueName="[VentasOrigen].[Tipo de Cliente].[All]" dimensionUniqueName="[VentasOrigen]" displayFolder="" count="0" memberValueDatatype="130" unbalanced="0" hidden="1"/>
    <cacheHierarchy uniqueName="[Measures].[Recuento de Categoría]" caption="Recuento de Categoría" measure="1" displayFolder="" measureGroup="ThVenta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Monto Venta 2]" caption="Suma de Monto Venta 2" measure="1" displayFolder="" measureGroup="ThVenta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ontoTotalVentas]" caption="MontoTotalVentas" measure="1" displayFolder="" measureGroup="Medidas" count="0"/>
    <cacheHierarchy uniqueName="[Measures].[CostosTotales]" caption="CostosTotales" measure="1" displayFolder="" measureGroup="Medidas" count="0"/>
    <cacheHierarchy uniqueName="[Measures].[MargenNeto]" caption="MargenNeto" measure="1" displayFolder="" measureGroup="Medidas" count="0"/>
    <cacheHierarchy uniqueName="[Measures].[MargenPorcentual]" caption="MargenPorcentual" measure="1" displayFolder="" measureGroup="Medidas" count="0"/>
    <cacheHierarchy uniqueName="[Measures].[ClientesUnicos]" caption="ClientesUnicos" measure="1" displayFolder="" measureGroup="Medidas" count="0"/>
    <cacheHierarchy uniqueName="[Measures].[VentasAñoAnterior]" caption="VentasAñoAnterior" measure="1" displayFolder="" measureGroup="Medidas" count="0"/>
    <cacheHierarchy uniqueName="[Measures].[CrecimientoYoY]" caption="CrecimientoYoY" measure="1" displayFolder="" measureGroup="Medidas" count="0"/>
    <cacheHierarchy uniqueName="[Measures].[CantidadOperaciones]" caption="CantidadOperaciones" measure="1" displayFolder="" measureGroup="Medidas" count="0"/>
    <cacheHierarchy uniqueName="[Measures].[__XL_Count VentasOrigen]" caption="__XL_Count VentasOrigen" measure="1" displayFolder="" measureGroup="VentasOrigen" count="0" hidden="1"/>
    <cacheHierarchy uniqueName="[Measures].[__XL_Count ThVentas]" caption="__XL_Count ThVentas" measure="1" displayFolder="" measureGroup="ThVentas" count="0" hidden="1"/>
    <cacheHierarchy uniqueName="[Measures].[__XL_Count DimClientes]" caption="__XL_Count DimClientes" measure="1" displayFolder="" measureGroup="DimClientes" count="0" hidden="1"/>
    <cacheHierarchy uniqueName="[Measures].[__XL_Count DimProductos]" caption="__XL_Count DimProductos" measure="1" displayFolder="" measureGroup="DimProductos" count="0" hidden="1"/>
    <cacheHierarchy uniqueName="[Measures].[__XL_Count Calendar]" caption="__XL_Count Calendar" measure="1" displayFolder="" measureGroup="Calendar" count="0" hidden="1"/>
    <cacheHierarchy uniqueName="[Measures].[__XL_Count Medidas]" caption="__XL_Count Medidas" measure="1" displayFolder="" measureGroup="Medida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196794849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D2E75C-C48C-46D1-9353-B191615C3E46}" name="TablaDinámica5" cacheId="689" applyNumberFormats="0" applyBorderFormats="0" applyFontFormats="0" applyPatternFormats="0" applyAlignmentFormats="0" applyWidthHeightFormats="1" dataCaption="Valores" tag="f0378d28-8fa4-4b36-9cb1-1b68bcd23c3f" updatedVersion="8" minRefreshableVersion="5" useAutoFormatting="1" subtotalHiddenItems="1" itemPrintTitles="1" createdVersion="5" indent="0" outline="1" outlineData="1" multipleFieldFilters="0" chartFormat="2" rowHeaderCaption="Año">
  <location ref="A1:E4" firstHeaderRow="0" firstDataRow="1" firstDataCol="1"/>
  <pivotFields count="8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 numFmtId="10"/>
    <dataField fld="1" subtotal="count" baseField="0" baseItem="0" numFmtId="164"/>
    <dataField fld="3" subtotal="count" baseField="0" baseItem="0"/>
    <dataField fld="4" subtotal="count" baseField="0" baseItem="0"/>
  </dataFields>
  <formats count="2">
    <format dxfId="1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6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Marge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5" type="dateBetween" evalOrder="-1" id="47" name="[ThVentas].[Fecha]">
      <autoFilter ref="A1">
        <filterColumn colId="0">
          <customFilters and="1">
            <customFilter operator="greaterThanOrEqual" val="45658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didas]"/>
        <x15:activeTabTopLevelEntity name="[Calendar]"/>
        <x15:activeTabTopLevelEntity name="[Th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18E9A7-7721-4707-A1E8-DC39FBC6F286}" name="TablaDinámica2" cacheId="701" applyNumberFormats="0" applyBorderFormats="0" applyFontFormats="0" applyPatternFormats="0" applyAlignmentFormats="0" applyWidthHeightFormats="1" dataCaption="Valores" tag="1fda0f35-f923-495d-b505-931dfdffe283" updatedVersion="8" minRefreshableVersion="5" useAutoFormatting="1" subtotalHiddenItems="1" itemPrintTitles="1" createdVersion="8" indent="0" outline="1" outlineData="1" multipleFieldFilters="0" chartFormat="8">
  <location ref="A1:B26" firstHeaderRow="1" firstDataRow="1" firstDataCol="1"/>
  <pivotFields count="5"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fld="1" subtotal="count" baseField="0" baseItem="0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60" name="[ThVentas].[Fecha]">
      <autoFilter ref="A1">
        <filterColumn colId="0">
          <customFilters and="1">
            <customFilter operator="greaterThanOrEqual" val="45658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Medidas]"/>
        <x15:activeTabTopLevelEntity name="[Th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FA589-5938-403C-8696-C3FFBF626E29}" name="TablaDinámica3" cacheId="692" applyNumberFormats="0" applyBorderFormats="0" applyFontFormats="0" applyPatternFormats="0" applyAlignmentFormats="0" applyWidthHeightFormats="1" dataCaption="Valores" tag="ff18b8b3-16ff-40bb-88d1-4e5ed69a21e2" updatedVersion="8" minRefreshableVersion="5" useAutoFormatting="1" itemPrintTitles="1" createdVersion="8" indent="0" outline="1" outlineData="1" multipleFieldFilters="0" chartFormat="4">
  <location ref="A1:B7" firstHeaderRow="1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Monto Venta" fld="1" baseField="0" baseItem="0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47" name="[ThVentas].[Fecha]">
      <autoFilter ref="A1">
        <filterColumn colId="0">
          <customFilters and="1">
            <customFilter operator="greaterThanOrEqual" val="45658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h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133B78-A596-46F2-BAA6-0DBE5FDC0FFA}" name="TablaDinámica4" cacheId="695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1:B2" firstHeaderRow="0" firstDataRow="1" firstDataCol="0"/>
  <pivotFields count="5"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pivotHierarchies count="6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12" name="[ThVentas].[Fecha]">
      <autoFilter ref="A1">
        <filterColumn colId="0">
          <customFilters and="1">
            <customFilter operator="greaterThanOrEqual" val="45658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hVentas]"/>
        <x15:activeTabTopLevelEntity name="[Medidas]"/>
        <x15:activeTabTopLevelEntity name="[ThVentas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E003C-1321-4B3C-A2D4-918F2352F8AA}" name="TablaDinámica2" cacheId="698" applyNumberFormats="0" applyBorderFormats="0" applyFontFormats="0" applyPatternFormats="0" applyAlignmentFormats="0" applyWidthHeightFormats="1" dataCaption="Valores" tag="bfcadf6f-ab84-48fc-bc01-883cdda52ac8" updatedVersion="8" minRefreshableVersion="5" useAutoFormatting="1" itemPrintTitles="1" createdVersion="8" indent="0" outline="1" outlineData="1" multipleFieldFilters="0">
  <location ref="A1:B7" firstHeaderRow="1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Monto Venta" fld="1" baseField="0" baseItem="0" numFmtId="164"/>
  </dataFields>
  <formats count="2">
    <format dxfId="108">
      <pivotArea dataOnly="0" outline="0" axis="axisValues" fieldPosition="0"/>
    </format>
    <format dxfId="107">
      <pivotArea outline="0" collapsedLevelsAreSubtotals="1" fieldPosition="0"/>
    </format>
  </formats>
  <pivotHierarchies count="6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9" name="[ThVentas].[Fecha]">
      <autoFilter ref="A1">
        <filterColumn colId="0">
          <customFilters and="1">
            <customFilter operator="greaterThanOrEqual" val="45658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h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44999E-BD92-4A9C-B2F0-E8CD232993CE}" name="TablaDinámica3" cacheId="808" applyNumberFormats="0" applyBorderFormats="0" applyFontFormats="0" applyPatternFormats="0" applyAlignmentFormats="0" applyWidthHeightFormats="1" dataCaption="Valores" tag="2f37761f-e5d3-4554-bf52-c48f1125b153" updatedVersion="8" minRefreshableVersion="3" useAutoFormatting="1" subtotalHiddenItems="1" itemPrintTitles="1" createdVersion="8" indent="0" outline="1" outlineData="1" multipleFieldFilters="0" rowHeaderCaption="Periodo">
  <location ref="A1:B16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1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2">
        <item x="0" e="0"/>
        <item x="1"/>
      </items>
    </pivotField>
  </pivotFields>
  <rowFields count="3">
    <field x="3"/>
    <field x="2"/>
    <field x="1"/>
  </rowFields>
  <rowItems count="15">
    <i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a de Monto Venta" fld="0" baseField="0" baseItem="0"/>
  </dataFields>
  <formats count="26">
    <format dxfId="77">
      <pivotArea collapsedLevelsAreSubtotals="1" fieldPosition="0">
        <references count="2">
          <reference field="2" count="1">
            <x v="0"/>
          </reference>
          <reference field="3" count="1" selected="0">
            <x v="0"/>
          </reference>
        </references>
      </pivotArea>
    </format>
    <format dxfId="75">
      <pivotArea collapsedLevelsAreSubtotals="1" fieldPosition="0">
        <references count="2">
          <reference field="2" count="1">
            <x v="1"/>
          </reference>
          <reference field="3" count="1" selected="0">
            <x v="0"/>
          </reference>
        </references>
      </pivotArea>
    </format>
    <format dxfId="73">
      <pivotArea collapsedLevelsAreSubtotals="1" fieldPosition="0">
        <references count="2">
          <reference field="2" count="1">
            <x v="2"/>
          </reference>
          <reference field="3" count="1" selected="0">
            <x v="0"/>
          </reference>
        </references>
      </pivotArea>
    </format>
    <format dxfId="71">
      <pivotArea collapsedLevelsAreSubtotals="1" fieldPosition="0">
        <references count="2">
          <reference field="2" count="1">
            <x v="3"/>
          </reference>
          <reference field="3" count="1" selected="0">
            <x v="0"/>
          </reference>
        </references>
      </pivotArea>
    </format>
    <format dxfId="69">
      <pivotArea collapsedLevelsAreSubtotals="1" fieldPosition="0">
        <references count="2">
          <reference field="2" count="1">
            <x v="4"/>
          </reference>
          <reference field="3" count="1" selected="0">
            <x v="0"/>
          </reference>
        </references>
      </pivotArea>
    </format>
    <format dxfId="67">
      <pivotArea collapsedLevelsAreSubtotals="1" fieldPosition="0">
        <references count="2">
          <reference field="2" count="1">
            <x v="5"/>
          </reference>
          <reference field="3" count="1" selected="0">
            <x v="0"/>
          </reference>
        </references>
      </pivotArea>
    </format>
    <format dxfId="65">
      <pivotArea collapsedLevelsAreSubtotals="1" fieldPosition="0">
        <references count="2">
          <reference field="2" count="1">
            <x v="6"/>
          </reference>
          <reference field="3" count="1" selected="0">
            <x v="0"/>
          </reference>
        </references>
      </pivotArea>
    </format>
    <format dxfId="63">
      <pivotArea collapsedLevelsAreSubtotals="1" fieldPosition="0">
        <references count="2">
          <reference field="2" count="1">
            <x v="7"/>
          </reference>
          <reference field="3" count="1" selected="0">
            <x v="0"/>
          </reference>
        </references>
      </pivotArea>
    </format>
    <format dxfId="61">
      <pivotArea collapsedLevelsAreSubtotals="1" fieldPosition="0">
        <references count="2">
          <reference field="2" count="1">
            <x v="8"/>
          </reference>
          <reference field="3" count="1" selected="0">
            <x v="0"/>
          </reference>
        </references>
      </pivotArea>
    </format>
    <format dxfId="59">
      <pivotArea collapsedLevelsAreSubtotals="1" fieldPosition="0">
        <references count="2">
          <reference field="2" count="1">
            <x v="9"/>
          </reference>
          <reference field="3" count="1" selected="0">
            <x v="0"/>
          </reference>
        </references>
      </pivotArea>
    </format>
    <format dxfId="57">
      <pivotArea collapsedLevelsAreSubtotals="1" fieldPosition="0">
        <references count="2">
          <reference field="2" count="1">
            <x v="10"/>
          </reference>
          <reference field="3" count="1" selected="0">
            <x v="0"/>
          </reference>
        </references>
      </pivotArea>
    </format>
    <format dxfId="55">
      <pivotArea collapsedLevelsAreSubtotals="1" fieldPosition="0">
        <references count="2">
          <reference field="2" count="1">
            <x v="11"/>
          </reference>
          <reference field="3" count="1" selected="0">
            <x v="0"/>
          </reference>
        </references>
      </pivotArea>
    </format>
    <format dxfId="53">
      <pivotArea collapsedLevelsAreSubtotals="1" fieldPosition="0">
        <references count="1">
          <reference field="3" count="1">
            <x v="1"/>
          </reference>
        </references>
      </pivotArea>
    </format>
    <format dxfId="51">
      <pivotArea collapsedLevelsAreSubtotals="1" fieldPosition="0">
        <references count="2">
          <reference field="2" count="1">
            <x v="0"/>
          </reference>
          <reference field="3" count="1" selected="0">
            <x v="1"/>
          </reference>
        </references>
      </pivotArea>
    </format>
    <format dxfId="49">
      <pivotArea collapsedLevelsAreSubtotals="1" fieldPosition="0">
        <references count="2">
          <reference field="2" count="1">
            <x v="1"/>
          </reference>
          <reference field="3" count="1" selected="0">
            <x v="1"/>
          </reference>
        </references>
      </pivotArea>
    </format>
    <format dxfId="47">
      <pivotArea collapsedLevelsAreSubtotals="1" fieldPosition="0">
        <references count="2">
          <reference field="2" count="1">
            <x v="2"/>
          </reference>
          <reference field="3" count="1" selected="0">
            <x v="1"/>
          </reference>
        </references>
      </pivotArea>
    </format>
    <format dxfId="45">
      <pivotArea collapsedLevelsAreSubtotals="1" fieldPosition="0">
        <references count="2">
          <reference field="2" count="1">
            <x v="3"/>
          </reference>
          <reference field="3" count="1" selected="0">
            <x v="1"/>
          </reference>
        </references>
      </pivotArea>
    </format>
    <format dxfId="43">
      <pivotArea collapsedLevelsAreSubtotals="1" fieldPosition="0">
        <references count="2">
          <reference field="2" count="1">
            <x v="4"/>
          </reference>
          <reference field="3" count="1" selected="0">
            <x v="1"/>
          </reference>
        </references>
      </pivotArea>
    </format>
    <format dxfId="41">
      <pivotArea collapsedLevelsAreSubtotals="1" fieldPosition="0">
        <references count="2">
          <reference field="2" count="1">
            <x v="5"/>
          </reference>
          <reference field="3" count="1" selected="0">
            <x v="1"/>
          </reference>
        </references>
      </pivotArea>
    </format>
    <format dxfId="39">
      <pivotArea collapsedLevelsAreSubtotals="1" fieldPosition="0">
        <references count="2">
          <reference field="2" count="1">
            <x v="6"/>
          </reference>
          <reference field="3" count="1" selected="0">
            <x v="1"/>
          </reference>
        </references>
      </pivotArea>
    </format>
    <format dxfId="37">
      <pivotArea collapsedLevelsAreSubtotals="1" fieldPosition="0">
        <references count="2">
          <reference field="2" count="1">
            <x v="7"/>
          </reference>
          <reference field="3" count="1" selected="0">
            <x v="1"/>
          </reference>
        </references>
      </pivotArea>
    </format>
    <format dxfId="35">
      <pivotArea collapsedLevelsAreSubtotals="1" fieldPosition="0">
        <references count="2">
          <reference field="2" count="1">
            <x v="8"/>
          </reference>
          <reference field="3" count="1" selected="0">
            <x v="1"/>
          </reference>
        </references>
      </pivotArea>
    </format>
    <format dxfId="33">
      <pivotArea collapsedLevelsAreSubtotals="1" fieldPosition="0">
        <references count="2">
          <reference field="2" count="1">
            <x v="9"/>
          </reference>
          <reference field="3" count="1" selected="0">
            <x v="1"/>
          </reference>
        </references>
      </pivotArea>
    </format>
    <format dxfId="31">
      <pivotArea collapsedLevelsAreSubtotals="1" fieldPosition="0">
        <references count="2">
          <reference field="2" count="1">
            <x v="10"/>
          </reference>
          <reference field="3" count="1" selected="0">
            <x v="1"/>
          </reference>
        </references>
      </pivotArea>
    </format>
    <format dxfId="29">
      <pivotArea collapsedLevelsAreSubtotals="1" fieldPosition="0">
        <references count="2">
          <reference field="2" count="1">
            <x v="11"/>
          </reference>
          <reference field="3" count="1" selected="0">
            <x v="1"/>
          </reference>
        </references>
      </pivotArea>
    </format>
    <format dxfId="27">
      <pivotArea grandRow="1" outline="0" collapsedLevelsAreSubtotals="1" fieldPosition="0"/>
    </format>
  </formats>
  <pivotHierarchies count="6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3"/>
    <rowHierarchyUsage hierarchyUsage="24"/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h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6" xr16:uid="{E8C884EC-5FE8-4216-8A65-01C47851A691}" autoFormatId="16" applyNumberFormats="0" applyBorderFormats="0" applyFontFormats="0" applyPatternFormats="0" applyAlignmentFormats="0" applyWidthHeightFormats="0">
  <queryTableRefresh nextId="25" unboundColumnsRight="2">
    <queryTableFields count="20">
      <queryTableField id="1" name="ID Venta" tableColumnId="1"/>
      <queryTableField id="2" name="Fecha" tableColumnId="2"/>
      <queryTableField id="3" name="ID Cliente" tableColumnId="3"/>
      <queryTableField id="4" name="Cliente" tableColumnId="4"/>
      <queryTableField id="5" name="Tipo de Cliente" tableColumnId="5"/>
      <queryTableField id="6" name="Región" tableColumnId="6"/>
      <queryTableField id="7" name="ID Producto" tableColumnId="7"/>
      <queryTableField id="8" name="Producto" tableColumnId="8"/>
      <queryTableField id="9" name="Categoría" tableColumnId="9"/>
      <queryTableField id="10" name="Cantidad" tableColumnId="10"/>
      <queryTableField id="11" name="Precio Unitario" tableColumnId="11"/>
      <queryTableField id="12" name="Descuento" tableColumnId="12"/>
      <queryTableField id="19" name="Costo Total" tableColumnId="17"/>
      <queryTableField id="20" name="Monto Venta" tableColumnId="18"/>
      <queryTableField id="21" name="Fecha (año)" tableColumnId="19"/>
      <queryTableField id="22" name="Fecha (trimestre)" tableColumnId="20"/>
      <queryTableField id="23" name="Fecha (índice de meses)" tableColumnId="21"/>
      <queryTableField id="24" name="Fecha (mes)" tableColumnId="22"/>
      <queryTableField id="13" dataBound="0" tableColumnId="13"/>
      <queryTableField id="14" dataBound="0" tableColumnId="14"/>
    </queryTableFields>
    <queryTableDeletedFields count="6">
      <deletedField name="Monto Venta"/>
      <deletedField name="Costo Total"/>
      <deletedField name="Costo Total"/>
      <deletedField name="Monto Venta"/>
      <deletedField name="Costo Total"/>
      <deletedField name="Monto Venta"/>
    </queryTableDeletedFields>
  </queryTableRefresh>
  <extLst>
    <ext xmlns:x15="http://schemas.microsoft.com/office/spreadsheetml/2010/11/main" uri="{883FBD77-0823-4a55-B5E3-86C4891E6966}">
      <x15:queryTable sourceDataName="Consulta - ThVentas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ón" xr10:uid="{E613C2B5-B048-4B0D-9656-54FFB6D3E692}" sourceName="[ThVentas].[Región]">
  <pivotTables>
    <pivotTable tabId="12" name="TablaDinámica2"/>
    <pivotTable tabId="10" name="TablaDinámica5"/>
    <pivotTable tabId="13" name="TablaDinámica3"/>
    <pivotTable tabId="14" name="TablaDinámica4"/>
    <pivotTable tabId="15" name="TablaDinámica2"/>
  </pivotTables>
  <data>
    <olap pivotCacheId="34239245">
      <levels count="2">
        <level uniqueName="[ThVentas].[Región].[(All)]" sourceCaption="(All)" count="0"/>
        <level uniqueName="[ThVentas].[Región].[Región]" sourceCaption="Región" count="5">
          <ranges>
            <range startItem="0">
              <i n="[ThVentas].[Región].&amp;[Buenos Aires]" c="Buenos Aires"/>
              <i n="[ThVentas].[Región].&amp;[Córdoba]" c="Córdoba"/>
              <i n="[ThVentas].[Región].&amp;[Mendoza]" c="Mendoza"/>
              <i n="[ThVentas].[Región].&amp;[Santa Fe]" c="Santa Fe"/>
              <i n="[ThVentas].[Región].&amp;[Tucumán]" c="Tucumán"/>
            </range>
          </ranges>
        </level>
      </levels>
      <selections count="1">
        <selection n="[ThVentas].[Región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ía" xr10:uid="{81581D53-37FF-4578-9943-B79848A7D1DE}" sourceName="[ThVentas].[Categoría]">
  <pivotTables>
    <pivotTable tabId="15" name="TablaDinámica2"/>
    <pivotTable tabId="10" name="TablaDinámica5"/>
    <pivotTable tabId="12" name="TablaDinámica2"/>
    <pivotTable tabId="13" name="TablaDinámica3"/>
    <pivotTable tabId="14" name="TablaDinámica4"/>
  </pivotTables>
  <data>
    <olap pivotCacheId="34239245">
      <levels count="2">
        <level uniqueName="[ThVentas].[Categoría].[(All)]" sourceCaption="(All)" count="0"/>
        <level uniqueName="[ThVentas].[Categoría].[Categoría]" sourceCaption="Categoría" count="5">
          <ranges>
            <range startItem="0">
              <i n="[ThVentas].[Categoría].&amp;[Componentes]" c="Componentes"/>
              <i n="[ThVentas].[Categoría].&amp;[Computación]" c="Computación"/>
              <i n="[ThVentas].[Categoría].&amp;[Periféricos]" c="Periféricos"/>
              <i n="[ThVentas].[Categoría].&amp;[Servicios]" c="Servicios"/>
              <i n="[ThVentas].[Categoría].&amp;[Software]" c="Software"/>
            </range>
          </ranges>
        </level>
      </levels>
      <selections count="1">
        <selection n="[ThVentas].[Categoría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ón" xr10:uid="{57022426-AAD6-4723-B9A6-DD2B50E6C76E}" cache="SegmentaciónDeDatos_Región" caption="Región" level="1" rowHeight="257175"/>
  <slicer name="Categoría" xr10:uid="{F72A9856-3674-4902-8318-F5BEBFE2C105}" cache="SegmentaciónDeDatos_Categoría" caption="Categoría" level="1" rowHeight="257175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929E66-BF2F-4CC8-BCA9-B6A3EB553AFE}" name="AnalisisDescriptivo" displayName="AnalisisDescriptivo" ref="A1:B15" totalsRowShown="0" headerRowDxfId="118" dataDxfId="116" headerRowBorderDxfId="117" tableBorderDxfId="115">
  <autoFilter ref="A1:B15" xr:uid="{63929E66-BF2F-4CC8-BCA9-B6A3EB553AFE}"/>
  <tableColumns count="2">
    <tableColumn id="1" xr3:uid="{C9928712-48DD-498D-AF08-C1721C261585}" name="Concepto" dataDxfId="114"/>
    <tableColumn id="2" xr3:uid="{99B9D666-B603-435E-9393-5B87BCFE3684}" name="Columna1" dataDxfId="1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6363FF-ED67-4B17-904F-274299B6B791}" name="ThVentas" displayName="ThVentas" ref="A1:T115" tableType="queryTable" totalsRowCount="1">
  <autoFilter ref="A1:T114" xr:uid="{D96363FF-ED67-4B17-904F-274299B6B791}"/>
  <tableColumns count="20">
    <tableColumn id="1" xr3:uid="{9CF5D44A-E662-4C1E-9431-D3B90E8BF18E}" uniqueName="1" name="ID Venta" queryTableFieldId="1" dataDxfId="126"/>
    <tableColumn id="2" xr3:uid="{7479B5FC-F417-4A8C-9A38-18E17EDA4481}" uniqueName="2" name="Fecha" queryTableFieldId="2" dataDxfId="106"/>
    <tableColumn id="3" xr3:uid="{A6E53DE7-66BD-499A-9C10-C657FEA41797}" uniqueName="3" name="ID Cliente" queryTableFieldId="3" dataDxfId="125"/>
    <tableColumn id="4" xr3:uid="{9A46ED40-8849-4D15-B352-2ED9C999CEE8}" uniqueName="4" name="Cliente" queryTableFieldId="4" dataDxfId="124"/>
    <tableColumn id="5" xr3:uid="{AA5900E1-F9B3-422C-80E7-C0AC64BDDB20}" uniqueName="5" name="Tipo de Cliente" queryTableFieldId="5" dataDxfId="123"/>
    <tableColumn id="6" xr3:uid="{3056BE9C-FA93-4DB9-8FD0-34C31953DC86}" uniqueName="6" name="Región" queryTableFieldId="6" dataDxfId="122"/>
    <tableColumn id="7" xr3:uid="{D584A1A6-0865-477F-8EEC-4D849183E6C2}" uniqueName="7" name="ID Producto" queryTableFieldId="7" dataDxfId="121"/>
    <tableColumn id="8" xr3:uid="{87562042-5522-4686-A48B-64FE3745F98E}" uniqueName="8" name="Producto" queryTableFieldId="8" dataDxfId="120"/>
    <tableColumn id="9" xr3:uid="{754F94E2-0422-4A37-AE4E-9AE242667964}" uniqueName="9" name="Categoría" queryTableFieldId="9" dataDxfId="119"/>
    <tableColumn id="10" xr3:uid="{9603A112-1A54-4ADE-AFD5-127319BF2832}" uniqueName="10" name="Cantidad" queryTableFieldId="10"/>
    <tableColumn id="11" xr3:uid="{FB5B8F87-57FD-4CFF-AD89-919BABB54BFF}" uniqueName="11" name="Precio Unitario" queryTableFieldId="11"/>
    <tableColumn id="12" xr3:uid="{9B29FC0E-AA5B-417F-A701-D86B2A428ACB}" uniqueName="12" name="Descuento" queryTableFieldId="12"/>
    <tableColumn id="17" xr3:uid="{3E89BB8E-D731-4A1E-942F-EBCC07625F3F}" uniqueName="17" name="Costo Total" queryTableFieldId="19"/>
    <tableColumn id="18" xr3:uid="{F80A875B-2744-4B19-ABBA-03DC70B25902}" uniqueName="18" name="Monto Venta" queryTableFieldId="20"/>
    <tableColumn id="19" xr3:uid="{63FA74EF-8641-4A53-A438-984C58BE8AD4}" uniqueName="19" name="Fecha (año)" queryTableFieldId="21"/>
    <tableColumn id="20" xr3:uid="{7AE086D0-4037-4902-A618-C514DB4C8675}" uniqueName="20" name="Fecha (trimestre)" queryTableFieldId="22"/>
    <tableColumn id="21" xr3:uid="{3000790F-FB57-4C64-B0A9-E4EA364AA154}" uniqueName="21" name="Fecha (índice de meses)" queryTableFieldId="23"/>
    <tableColumn id="22" xr3:uid="{73E5D0A4-22A9-411B-92C9-35510BF19E23}" uniqueName="22" name="Fecha (mes)" queryTableFieldId="24"/>
    <tableColumn id="13" xr3:uid="{931E7184-015B-46F4-A667-ED1ABD9F9113}" uniqueName="13" name="Costo Total2" totalsRowFunction="sum" queryTableFieldId="13" dataDxfId="105" totalsRowDxfId="109"/>
    <tableColumn id="14" xr3:uid="{18454189-D1AE-4B00-BA56-78AD15D36D20}" uniqueName="14" name="Monto venta3" totalsRowFunction="sum" queryTableFieldId="14" dataDxfId="104" totalsRowDxfId="1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4AF278-7D98-4B6C-B787-48B1B094B288}" name="Medidas" displayName="Medidas" ref="B2:B3" totalsRowShown="0">
  <autoFilter ref="B2:B3" xr:uid="{A54AF278-7D98-4B6C-B787-48B1B094B288}"/>
  <tableColumns count="1">
    <tableColumn id="1" xr3:uid="{D41D5D46-D752-4238-99CC-B0AC256DE11C}" name="Medi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Fecha" xr10:uid="{F3E0D62D-3725-476D-833A-D597AC877498}" sourceName="[ThVentas].[Fecha]">
  <pivotTables>
    <pivotTable tabId="12" name="TablaDinámica2"/>
    <pivotTable tabId="10" name="TablaDinámica5"/>
    <pivotTable tabId="13" name="TablaDinámica3"/>
    <pivotTable tabId="14" name="TablaDinámica4"/>
    <pivotTable tabId="15" name="TablaDinámica2"/>
  </pivotTables>
  <state minimalRefreshVersion="6" lastRefreshVersion="6" pivotCacheId="1967948490" filterType="dateBetween">
    <selection startDate="2025-01-01T00:00:00" endDate="2026-12-31T00:00:00"/>
    <bounds startDate="2025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9553BDE6-D2B6-41B1-9BBB-687C3B538778}" cache="Timeline_Fecha" caption="Fecha" level="2" selectionLevel="0" scrollPosition="2025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02E14-6272-45F9-88E5-555FA05D0787}">
  <dimension ref="A1:B15"/>
  <sheetViews>
    <sheetView workbookViewId="0">
      <selection activeCell="B3" sqref="B3"/>
    </sheetView>
  </sheetViews>
  <sheetFormatPr baseColWidth="10" defaultRowHeight="14.25" x14ac:dyDescent="0.2"/>
  <cols>
    <col min="1" max="1" width="17.375" bestFit="1" customWidth="1"/>
    <col min="2" max="2" width="18.5" bestFit="1" customWidth="1"/>
  </cols>
  <sheetData>
    <row r="1" spans="1:2" x14ac:dyDescent="0.2">
      <c r="A1" s="5" t="s">
        <v>210</v>
      </c>
      <c r="B1" s="5" t="s">
        <v>176</v>
      </c>
    </row>
    <row r="3" spans="1:2" x14ac:dyDescent="0.2">
      <c r="A3" t="s">
        <v>177</v>
      </c>
      <c r="B3" s="6">
        <v>7666212.3893805314</v>
      </c>
    </row>
    <row r="4" spans="1:2" x14ac:dyDescent="0.2">
      <c r="A4" t="s">
        <v>178</v>
      </c>
      <c r="B4" s="6">
        <v>1045308.3695356102</v>
      </c>
    </row>
    <row r="5" spans="1:2" x14ac:dyDescent="0.2">
      <c r="A5" t="s">
        <v>179</v>
      </c>
      <c r="B5" s="6">
        <v>4132500</v>
      </c>
    </row>
    <row r="6" spans="1:2" x14ac:dyDescent="0.2">
      <c r="A6" t="s">
        <v>180</v>
      </c>
      <c r="B6" s="6">
        <v>6162500</v>
      </c>
    </row>
    <row r="7" spans="1:2" x14ac:dyDescent="0.2">
      <c r="A7" t="s">
        <v>181</v>
      </c>
      <c r="B7" s="6">
        <v>11111780.387435451</v>
      </c>
    </row>
    <row r="8" spans="1:2" x14ac:dyDescent="0.2">
      <c r="A8" t="s">
        <v>182</v>
      </c>
      <c r="B8" s="6">
        <v>123471663378595.14</v>
      </c>
    </row>
    <row r="9" spans="1:2" x14ac:dyDescent="0.2">
      <c r="A9" t="s">
        <v>183</v>
      </c>
      <c r="B9" s="6">
        <v>7.7547057086674434</v>
      </c>
    </row>
    <row r="10" spans="1:2" x14ac:dyDescent="0.2">
      <c r="A10" t="s">
        <v>184</v>
      </c>
      <c r="B10" s="6">
        <v>2.7355322839219101</v>
      </c>
    </row>
    <row r="11" spans="1:2" x14ac:dyDescent="0.2">
      <c r="A11" t="s">
        <v>185</v>
      </c>
      <c r="B11" s="7">
        <v>57755000</v>
      </c>
    </row>
    <row r="12" spans="1:2" x14ac:dyDescent="0.2">
      <c r="A12" t="s">
        <v>186</v>
      </c>
      <c r="B12" s="7">
        <v>45000</v>
      </c>
    </row>
    <row r="13" spans="1:2" x14ac:dyDescent="0.2">
      <c r="A13" t="s">
        <v>187</v>
      </c>
      <c r="B13" s="7">
        <v>57800000</v>
      </c>
    </row>
    <row r="14" spans="1:2" x14ac:dyDescent="0.2">
      <c r="A14" t="s">
        <v>188</v>
      </c>
      <c r="B14" s="7">
        <v>866282000</v>
      </c>
    </row>
    <row r="15" spans="1:2" x14ac:dyDescent="0.2">
      <c r="A15" t="s">
        <v>189</v>
      </c>
      <c r="B15" s="7">
        <v>113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45A3-C178-4642-97F0-F4E2A92EBE5B}">
  <sheetPr>
    <outlinePr summaryBelow="0"/>
  </sheetPr>
  <dimension ref="B1:G26"/>
  <sheetViews>
    <sheetView showGridLines="0" workbookViewId="0">
      <selection activeCell="G34" sqref="G34"/>
    </sheetView>
  </sheetViews>
  <sheetFormatPr baseColWidth="10" defaultRowHeight="14.25" outlineLevelRow="1" outlineLevelCol="1" x14ac:dyDescent="0.2"/>
  <cols>
    <col min="3" max="3" width="5.75" bestFit="1" customWidth="1"/>
    <col min="4" max="7" width="13.125" bestFit="1" customWidth="1" outlineLevel="1"/>
  </cols>
  <sheetData>
    <row r="1" spans="2:7" ht="15" thickBot="1" x14ac:dyDescent="0.25"/>
    <row r="2" spans="2:7" ht="15.75" x14ac:dyDescent="0.25">
      <c r="B2" s="11" t="s">
        <v>203</v>
      </c>
      <c r="C2" s="11"/>
      <c r="D2" s="15"/>
      <c r="E2" s="15"/>
      <c r="F2" s="15"/>
      <c r="G2" s="15"/>
    </row>
    <row r="3" spans="2:7" ht="15.75" collapsed="1" x14ac:dyDescent="0.25">
      <c r="B3" s="10"/>
      <c r="C3" s="10"/>
      <c r="D3" s="16" t="s">
        <v>205</v>
      </c>
      <c r="E3" s="16" t="s">
        <v>198</v>
      </c>
      <c r="F3" s="16" t="s">
        <v>199</v>
      </c>
      <c r="G3" s="16" t="s">
        <v>201</v>
      </c>
    </row>
    <row r="4" spans="2:7" ht="45" hidden="1" outlineLevel="1" x14ac:dyDescent="0.2">
      <c r="B4" s="12"/>
      <c r="C4" s="12"/>
      <c r="E4" s="18"/>
      <c r="F4" s="18" t="s">
        <v>200</v>
      </c>
      <c r="G4" s="18" t="s">
        <v>202</v>
      </c>
    </row>
    <row r="5" spans="2:7" x14ac:dyDescent="0.2">
      <c r="B5" s="13" t="s">
        <v>204</v>
      </c>
      <c r="C5" s="13"/>
      <c r="D5" s="4"/>
      <c r="E5" s="4"/>
      <c r="F5" s="4"/>
      <c r="G5" s="4"/>
    </row>
    <row r="6" spans="2:7" outlineLevel="1" x14ac:dyDescent="0.2">
      <c r="B6" s="12"/>
      <c r="C6" s="12" t="s">
        <v>194</v>
      </c>
      <c r="D6" s="1">
        <v>1</v>
      </c>
      <c r="E6" s="17">
        <v>0.85</v>
      </c>
      <c r="F6" s="17">
        <v>1</v>
      </c>
      <c r="G6" s="17">
        <v>1.1499999999999999</v>
      </c>
    </row>
    <row r="7" spans="2:7" x14ac:dyDescent="0.2">
      <c r="B7" s="13" t="s">
        <v>206</v>
      </c>
      <c r="C7" s="13"/>
      <c r="D7" s="4"/>
      <c r="E7" s="4"/>
      <c r="F7" s="4"/>
      <c r="G7" s="4"/>
    </row>
    <row r="8" spans="2:7" outlineLevel="1" x14ac:dyDescent="0.2">
      <c r="B8" s="12"/>
      <c r="C8" s="12" t="s">
        <v>195</v>
      </c>
      <c r="D8" s="3">
        <v>866282000</v>
      </c>
      <c r="E8" s="3">
        <v>736339700</v>
      </c>
      <c r="F8" s="3">
        <v>866282000</v>
      </c>
      <c r="G8" s="3">
        <v>996224300</v>
      </c>
    </row>
    <row r="9" spans="2:7" outlineLevel="1" x14ac:dyDescent="0.2">
      <c r="B9" s="12"/>
      <c r="C9" s="12" t="s">
        <v>196</v>
      </c>
      <c r="D9" s="3">
        <v>563083300</v>
      </c>
      <c r="E9" s="3">
        <v>478620805</v>
      </c>
      <c r="F9" s="3">
        <v>563083300</v>
      </c>
      <c r="G9" s="3">
        <v>647545795</v>
      </c>
    </row>
    <row r="10" spans="2:7" ht="15" outlineLevel="1" thickBot="1" x14ac:dyDescent="0.25">
      <c r="B10" s="14"/>
      <c r="C10" s="14" t="s">
        <v>197</v>
      </c>
      <c r="D10" s="9">
        <v>303198700</v>
      </c>
      <c r="E10" s="9">
        <v>257718895</v>
      </c>
      <c r="F10" s="9">
        <v>303198700</v>
      </c>
      <c r="G10" s="9">
        <v>348678505</v>
      </c>
    </row>
    <row r="11" spans="2:7" x14ac:dyDescent="0.2">
      <c r="B11" t="s">
        <v>207</v>
      </c>
    </row>
    <row r="12" spans="2:7" x14ac:dyDescent="0.2">
      <c r="B12" t="s">
        <v>208</v>
      </c>
    </row>
    <row r="13" spans="2:7" x14ac:dyDescent="0.2">
      <c r="B13" t="s">
        <v>209</v>
      </c>
    </row>
    <row r="26" spans="2:2" ht="15.75" x14ac:dyDescent="0.25">
      <c r="B26" s="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68C2-F20A-404B-8222-6589EE9E9E32}">
  <dimension ref="A1:B7"/>
  <sheetViews>
    <sheetView workbookViewId="0">
      <selection activeCell="D25" sqref="D25"/>
    </sheetView>
  </sheetViews>
  <sheetFormatPr baseColWidth="10" defaultRowHeight="14.25" x14ac:dyDescent="0.2"/>
  <cols>
    <col min="2" max="2" width="14.875" bestFit="1" customWidth="1"/>
  </cols>
  <sheetData>
    <row r="1" spans="1:2" ht="15.75" x14ac:dyDescent="0.25">
      <c r="A1" s="8" t="s">
        <v>193</v>
      </c>
    </row>
    <row r="3" spans="1:2" x14ac:dyDescent="0.2">
      <c r="A3" t="s">
        <v>1</v>
      </c>
      <c r="B3" s="1">
        <v>1</v>
      </c>
    </row>
    <row r="4" spans="1:2" x14ac:dyDescent="0.2">
      <c r="A4" t="s">
        <v>0</v>
      </c>
      <c r="B4" s="1">
        <v>0.65</v>
      </c>
    </row>
    <row r="5" spans="1:2" x14ac:dyDescent="0.2">
      <c r="A5" t="s">
        <v>190</v>
      </c>
      <c r="B5" s="3">
        <f>SUM(ThVentas[Monto venta3])*B3</f>
        <v>6612047729</v>
      </c>
    </row>
    <row r="6" spans="1:2" x14ac:dyDescent="0.2">
      <c r="A6" t="s">
        <v>191</v>
      </c>
      <c r="B6" s="3">
        <f>B5*B4</f>
        <v>4297831023.8500004</v>
      </c>
    </row>
    <row r="7" spans="1:2" x14ac:dyDescent="0.2">
      <c r="A7" t="s">
        <v>192</v>
      </c>
      <c r="B7" s="3">
        <f>B5-B6</f>
        <v>2314216705.1499996</v>
      </c>
    </row>
  </sheetData>
  <scenarios current="0" sqref="B5:B7">
    <scenario name="Pesimista" locked="1" count="1" user="Martin Lyko">
      <inputCells r="B3" val="0,85" numFmtId="9"/>
    </scenario>
    <scenario name="Base" locked="1" count="1" user="Martin Lyko" comment="_x000a_Modificado por Martin Lyko el 1/10/2026">
      <inputCells r="B3" val="1" numFmtId="9"/>
    </scenario>
    <scenario name="Optimista" locked="1" count="1" user="Martin Lyko" comment="Creado por Martin Lyko el 1/10/2026">
      <inputCells r="B3" val="1,15" numFmtId="9"/>
    </scenario>
  </scenario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7C4F-9107-4CF7-B2FE-71E18138B09C}">
  <sheetPr codeName="Hoja3"/>
  <dimension ref="A1:T119"/>
  <sheetViews>
    <sheetView workbookViewId="0">
      <selection sqref="A1:N1"/>
    </sheetView>
  </sheetViews>
  <sheetFormatPr baseColWidth="10" defaultRowHeight="14.25" x14ac:dyDescent="0.2"/>
  <cols>
    <col min="1" max="1" width="10.625" bestFit="1" customWidth="1"/>
    <col min="2" max="2" width="9.875" bestFit="1" customWidth="1"/>
    <col min="3" max="3" width="11.875" bestFit="1" customWidth="1"/>
    <col min="4" max="4" width="13.875" bestFit="1" customWidth="1"/>
    <col min="5" max="5" width="16.625" bestFit="1" customWidth="1"/>
    <col min="6" max="6" width="11.625" bestFit="1" customWidth="1"/>
    <col min="7" max="7" width="13.5" bestFit="1" customWidth="1"/>
    <col min="8" max="8" width="18.75" bestFit="1" customWidth="1"/>
    <col min="9" max="9" width="12.375" bestFit="1" customWidth="1"/>
    <col min="11" max="11" width="16.25" bestFit="1" customWidth="1"/>
    <col min="12" max="12" width="12.75" bestFit="1" customWidth="1"/>
    <col min="13" max="13" width="13.25" bestFit="1" customWidth="1"/>
    <col min="14" max="14" width="14.375" bestFit="1" customWidth="1"/>
    <col min="15" max="15" width="13.5" bestFit="1" customWidth="1"/>
    <col min="16" max="16" width="18.5" bestFit="1" customWidth="1"/>
    <col min="17" max="17" width="25" bestFit="1" customWidth="1"/>
    <col min="18" max="18" width="14" bestFit="1" customWidth="1"/>
    <col min="19" max="19" width="14.375" bestFit="1" customWidth="1"/>
    <col min="20" max="20" width="15.5" bestFit="1" customWidth="1"/>
    <col min="22" max="22" width="14.375" bestFit="1" customWidth="1"/>
    <col min="25" max="25" width="13.25" bestFit="1" customWidth="1"/>
  </cols>
  <sheetData>
    <row r="1" spans="1:20" x14ac:dyDescent="0.2">
      <c r="A1" t="s">
        <v>2</v>
      </c>
      <c r="B1" t="s">
        <v>3</v>
      </c>
      <c r="C1" t="s">
        <v>4</v>
      </c>
      <c r="D1" t="s">
        <v>5</v>
      </c>
      <c r="E1" t="s">
        <v>244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248</v>
      </c>
      <c r="O1" t="s">
        <v>252</v>
      </c>
      <c r="P1" t="s">
        <v>253</v>
      </c>
      <c r="Q1" t="s">
        <v>254</v>
      </c>
      <c r="R1" t="s">
        <v>255</v>
      </c>
      <c r="S1" t="s">
        <v>249</v>
      </c>
      <c r="T1" t="s">
        <v>250</v>
      </c>
    </row>
    <row r="2" spans="1:20" x14ac:dyDescent="0.2">
      <c r="A2" t="s">
        <v>14</v>
      </c>
      <c r="B2" s="2">
        <v>45767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6</v>
      </c>
      <c r="K2">
        <v>45000</v>
      </c>
      <c r="L2">
        <v>1</v>
      </c>
      <c r="M2">
        <v>2430000</v>
      </c>
      <c r="N2">
        <v>20807358</v>
      </c>
      <c r="O2" t="s">
        <v>256</v>
      </c>
      <c r="P2" t="s">
        <v>257</v>
      </c>
      <c r="Q2">
        <v>4</v>
      </c>
      <c r="R2" t="s">
        <v>258</v>
      </c>
      <c r="S2" s="3">
        <v>2430000</v>
      </c>
      <c r="T2" s="3">
        <v>20807358</v>
      </c>
    </row>
    <row r="3" spans="1:20" x14ac:dyDescent="0.2">
      <c r="A3" t="s">
        <v>22</v>
      </c>
      <c r="B3" s="2">
        <v>46253</v>
      </c>
      <c r="C3" t="s">
        <v>23</v>
      </c>
      <c r="D3" t="s">
        <v>24</v>
      </c>
      <c r="E3" t="s">
        <v>25</v>
      </c>
      <c r="F3" t="s">
        <v>26</v>
      </c>
      <c r="G3" t="s">
        <v>19</v>
      </c>
      <c r="H3" t="s">
        <v>20</v>
      </c>
      <c r="I3" t="s">
        <v>21</v>
      </c>
      <c r="J3">
        <v>2</v>
      </c>
      <c r="K3">
        <v>45000</v>
      </c>
      <c r="L3">
        <v>5</v>
      </c>
      <c r="M3">
        <v>855000</v>
      </c>
      <c r="N3">
        <v>5150396</v>
      </c>
      <c r="O3" t="s">
        <v>259</v>
      </c>
      <c r="P3" t="s">
        <v>260</v>
      </c>
      <c r="Q3">
        <v>8</v>
      </c>
      <c r="R3" t="s">
        <v>261</v>
      </c>
      <c r="S3" s="3">
        <v>855000</v>
      </c>
      <c r="T3" s="3">
        <v>5150396</v>
      </c>
    </row>
    <row r="4" spans="1:20" x14ac:dyDescent="0.2">
      <c r="A4" t="s">
        <v>27</v>
      </c>
      <c r="B4" s="2">
        <v>46097</v>
      </c>
      <c r="C4" t="s">
        <v>28</v>
      </c>
      <c r="D4" t="s">
        <v>29</v>
      </c>
      <c r="E4" t="s">
        <v>17</v>
      </c>
      <c r="F4" t="s">
        <v>30</v>
      </c>
      <c r="G4" t="s">
        <v>31</v>
      </c>
      <c r="H4" t="s">
        <v>32</v>
      </c>
      <c r="I4" t="s">
        <v>21</v>
      </c>
      <c r="J4">
        <v>6</v>
      </c>
      <c r="K4">
        <v>115000</v>
      </c>
      <c r="L4">
        <v>1</v>
      </c>
      <c r="M4">
        <v>6210000</v>
      </c>
      <c r="N4">
        <v>50254188</v>
      </c>
      <c r="O4" t="s">
        <v>259</v>
      </c>
      <c r="P4" t="s">
        <v>262</v>
      </c>
      <c r="Q4">
        <v>3</v>
      </c>
      <c r="R4" t="s">
        <v>263</v>
      </c>
      <c r="S4" s="3">
        <v>6210000</v>
      </c>
      <c r="T4" s="3">
        <v>50254188</v>
      </c>
    </row>
    <row r="5" spans="1:20" x14ac:dyDescent="0.2">
      <c r="A5" t="s">
        <v>33</v>
      </c>
      <c r="B5" s="2">
        <v>45854</v>
      </c>
      <c r="C5" t="s">
        <v>34</v>
      </c>
      <c r="D5" t="s">
        <v>35</v>
      </c>
      <c r="E5" t="s">
        <v>25</v>
      </c>
      <c r="F5" t="s">
        <v>36</v>
      </c>
      <c r="G5" t="s">
        <v>37</v>
      </c>
      <c r="H5" t="s">
        <v>38</v>
      </c>
      <c r="I5" t="s">
        <v>39</v>
      </c>
      <c r="J5">
        <v>5</v>
      </c>
      <c r="K5">
        <v>145000</v>
      </c>
      <c r="L5">
        <v>15</v>
      </c>
      <c r="M5">
        <v>6162500</v>
      </c>
      <c r="N5">
        <v>52871765</v>
      </c>
      <c r="O5" t="s">
        <v>256</v>
      </c>
      <c r="P5" t="s">
        <v>260</v>
      </c>
      <c r="Q5">
        <v>7</v>
      </c>
      <c r="R5" t="s">
        <v>264</v>
      </c>
      <c r="S5" s="3">
        <v>6162500</v>
      </c>
      <c r="T5" s="3">
        <v>52871765</v>
      </c>
    </row>
    <row r="6" spans="1:20" x14ac:dyDescent="0.2">
      <c r="A6" t="s">
        <v>40</v>
      </c>
      <c r="B6" s="2">
        <v>45982</v>
      </c>
      <c r="C6" t="s">
        <v>23</v>
      </c>
      <c r="D6" t="s">
        <v>24</v>
      </c>
      <c r="E6" t="s">
        <v>25</v>
      </c>
      <c r="F6" t="s">
        <v>36</v>
      </c>
      <c r="G6" t="s">
        <v>41</v>
      </c>
      <c r="H6" t="s">
        <v>42</v>
      </c>
      <c r="I6" t="s">
        <v>43</v>
      </c>
      <c r="J6">
        <v>5</v>
      </c>
      <c r="K6">
        <v>175000</v>
      </c>
      <c r="L6">
        <v>0</v>
      </c>
      <c r="M6">
        <v>875000</v>
      </c>
      <c r="N6">
        <v>50998295</v>
      </c>
      <c r="O6" t="s">
        <v>256</v>
      </c>
      <c r="P6" t="s">
        <v>265</v>
      </c>
      <c r="Q6">
        <v>11</v>
      </c>
      <c r="R6" t="s">
        <v>266</v>
      </c>
      <c r="S6" s="3">
        <v>875000</v>
      </c>
      <c r="T6" s="3">
        <v>50998295</v>
      </c>
    </row>
    <row r="7" spans="1:20" x14ac:dyDescent="0.2">
      <c r="A7" t="s">
        <v>44</v>
      </c>
      <c r="B7" s="2">
        <v>45754</v>
      </c>
      <c r="C7" t="s">
        <v>28</v>
      </c>
      <c r="D7" t="s">
        <v>29</v>
      </c>
      <c r="E7" t="s">
        <v>17</v>
      </c>
      <c r="F7" t="s">
        <v>26</v>
      </c>
      <c r="G7" t="s">
        <v>45</v>
      </c>
      <c r="H7" t="s">
        <v>46</v>
      </c>
      <c r="I7" t="s">
        <v>47</v>
      </c>
      <c r="J7">
        <v>1</v>
      </c>
      <c r="K7">
        <v>850000</v>
      </c>
      <c r="L7">
        <v>5</v>
      </c>
      <c r="M7">
        <v>8075000</v>
      </c>
      <c r="N7">
        <v>62425152</v>
      </c>
      <c r="O7" t="s">
        <v>256</v>
      </c>
      <c r="P7" t="s">
        <v>257</v>
      </c>
      <c r="Q7">
        <v>4</v>
      </c>
      <c r="R7" t="s">
        <v>258</v>
      </c>
      <c r="S7" s="3">
        <v>8075000</v>
      </c>
      <c r="T7" s="3">
        <v>62425152</v>
      </c>
    </row>
    <row r="8" spans="1:20" x14ac:dyDescent="0.2">
      <c r="A8" t="s">
        <v>48</v>
      </c>
      <c r="B8" s="2">
        <v>45823</v>
      </c>
      <c r="C8" t="s">
        <v>23</v>
      </c>
      <c r="D8" t="s">
        <v>24</v>
      </c>
      <c r="E8" t="s">
        <v>25</v>
      </c>
      <c r="F8" t="s">
        <v>49</v>
      </c>
      <c r="G8" t="s">
        <v>50</v>
      </c>
      <c r="H8" t="s">
        <v>51</v>
      </c>
      <c r="I8" t="s">
        <v>21</v>
      </c>
      <c r="J8">
        <v>6</v>
      </c>
      <c r="K8">
        <v>320000</v>
      </c>
      <c r="L8">
        <v>5</v>
      </c>
      <c r="M8">
        <v>18240000</v>
      </c>
      <c r="N8">
        <v>118318494</v>
      </c>
      <c r="O8" t="s">
        <v>256</v>
      </c>
      <c r="P8" t="s">
        <v>257</v>
      </c>
      <c r="Q8">
        <v>6</v>
      </c>
      <c r="R8" t="s">
        <v>267</v>
      </c>
      <c r="S8" s="3">
        <v>18240000</v>
      </c>
      <c r="T8" s="3">
        <v>118318494</v>
      </c>
    </row>
    <row r="9" spans="1:20" x14ac:dyDescent="0.2">
      <c r="A9" t="s">
        <v>52</v>
      </c>
      <c r="B9" s="2">
        <v>46075</v>
      </c>
      <c r="C9" t="s">
        <v>53</v>
      </c>
      <c r="D9" t="s">
        <v>54</v>
      </c>
      <c r="E9" t="s">
        <v>55</v>
      </c>
      <c r="F9" t="s">
        <v>36</v>
      </c>
      <c r="G9" t="s">
        <v>56</v>
      </c>
      <c r="H9" t="s">
        <v>57</v>
      </c>
      <c r="I9" t="s">
        <v>58</v>
      </c>
      <c r="J9">
        <v>6</v>
      </c>
      <c r="K9">
        <v>120000</v>
      </c>
      <c r="L9">
        <v>0</v>
      </c>
      <c r="M9">
        <v>720000</v>
      </c>
      <c r="N9">
        <v>4361751</v>
      </c>
      <c r="O9" t="s">
        <v>259</v>
      </c>
      <c r="P9" t="s">
        <v>262</v>
      </c>
      <c r="Q9">
        <v>2</v>
      </c>
      <c r="R9" t="s">
        <v>268</v>
      </c>
      <c r="S9" s="3">
        <v>720000</v>
      </c>
      <c r="T9" s="3">
        <v>4361751</v>
      </c>
    </row>
    <row r="10" spans="1:20" x14ac:dyDescent="0.2">
      <c r="A10" t="s">
        <v>59</v>
      </c>
      <c r="B10" s="2">
        <v>45803</v>
      </c>
      <c r="C10" t="s">
        <v>60</v>
      </c>
      <c r="D10" t="s">
        <v>61</v>
      </c>
      <c r="E10" t="s">
        <v>17</v>
      </c>
      <c r="F10" t="s">
        <v>49</v>
      </c>
      <c r="G10" t="s">
        <v>45</v>
      </c>
      <c r="H10" t="s">
        <v>46</v>
      </c>
      <c r="I10" t="s">
        <v>47</v>
      </c>
      <c r="J10">
        <v>6</v>
      </c>
      <c r="K10">
        <v>850000</v>
      </c>
      <c r="L10">
        <v>5</v>
      </c>
      <c r="M10">
        <v>48450000</v>
      </c>
      <c r="N10">
        <v>295166592</v>
      </c>
      <c r="O10" t="s">
        <v>256</v>
      </c>
      <c r="P10" t="s">
        <v>257</v>
      </c>
      <c r="Q10">
        <v>5</v>
      </c>
      <c r="R10" t="s">
        <v>269</v>
      </c>
      <c r="S10" s="3">
        <v>48450000</v>
      </c>
      <c r="T10" s="3">
        <v>295166592</v>
      </c>
    </row>
    <row r="11" spans="1:20" x14ac:dyDescent="0.2">
      <c r="A11" t="s">
        <v>62</v>
      </c>
      <c r="B11" s="2">
        <v>46211</v>
      </c>
      <c r="C11" t="s">
        <v>23</v>
      </c>
      <c r="D11" t="s">
        <v>24</v>
      </c>
      <c r="E11" t="s">
        <v>25</v>
      </c>
      <c r="F11" t="s">
        <v>26</v>
      </c>
      <c r="G11" t="s">
        <v>31</v>
      </c>
      <c r="H11" t="s">
        <v>32</v>
      </c>
      <c r="I11" t="s">
        <v>21</v>
      </c>
      <c r="J11">
        <v>7</v>
      </c>
      <c r="K11">
        <v>115000</v>
      </c>
      <c r="L11">
        <v>0</v>
      </c>
      <c r="M11">
        <v>805000</v>
      </c>
      <c r="N11">
        <v>43157891</v>
      </c>
      <c r="O11" t="s">
        <v>259</v>
      </c>
      <c r="P11" t="s">
        <v>260</v>
      </c>
      <c r="Q11">
        <v>7</v>
      </c>
      <c r="R11" t="s">
        <v>264</v>
      </c>
      <c r="S11" s="3">
        <v>805000</v>
      </c>
      <c r="T11" s="3">
        <v>43157891</v>
      </c>
    </row>
    <row r="12" spans="1:20" x14ac:dyDescent="0.2">
      <c r="A12" t="s">
        <v>63</v>
      </c>
      <c r="B12" s="2">
        <v>45861</v>
      </c>
      <c r="C12" t="s">
        <v>15</v>
      </c>
      <c r="D12" t="s">
        <v>16</v>
      </c>
      <c r="E12" t="s">
        <v>17</v>
      </c>
      <c r="F12" t="s">
        <v>18</v>
      </c>
      <c r="G12" t="s">
        <v>50</v>
      </c>
      <c r="H12" t="s">
        <v>51</v>
      </c>
      <c r="I12" t="s">
        <v>21</v>
      </c>
      <c r="J12">
        <v>7</v>
      </c>
      <c r="K12">
        <v>320000</v>
      </c>
      <c r="L12">
        <v>15</v>
      </c>
      <c r="M12">
        <v>19040000</v>
      </c>
      <c r="N12">
        <v>12475743</v>
      </c>
      <c r="O12" t="s">
        <v>256</v>
      </c>
      <c r="P12" t="s">
        <v>260</v>
      </c>
      <c r="Q12">
        <v>7</v>
      </c>
      <c r="R12" t="s">
        <v>264</v>
      </c>
      <c r="S12" s="3">
        <v>19040000</v>
      </c>
      <c r="T12" s="3">
        <v>12475743</v>
      </c>
    </row>
    <row r="13" spans="1:20" x14ac:dyDescent="0.2">
      <c r="A13" t="s">
        <v>64</v>
      </c>
      <c r="B13" s="2">
        <v>46218</v>
      </c>
      <c r="C13" t="s">
        <v>65</v>
      </c>
      <c r="D13" t="s">
        <v>66</v>
      </c>
      <c r="E13" t="s">
        <v>17</v>
      </c>
      <c r="F13" t="s">
        <v>49</v>
      </c>
      <c r="G13" t="s">
        <v>37</v>
      </c>
      <c r="H13" t="s">
        <v>38</v>
      </c>
      <c r="I13" t="s">
        <v>39</v>
      </c>
      <c r="J13">
        <v>5</v>
      </c>
      <c r="K13">
        <v>145000</v>
      </c>
      <c r="L13">
        <v>15</v>
      </c>
      <c r="M13">
        <v>6162500</v>
      </c>
      <c r="N13">
        <v>44303545</v>
      </c>
      <c r="O13" t="s">
        <v>259</v>
      </c>
      <c r="P13" t="s">
        <v>260</v>
      </c>
      <c r="Q13">
        <v>7</v>
      </c>
      <c r="R13" t="s">
        <v>264</v>
      </c>
      <c r="S13" s="3">
        <v>6162500</v>
      </c>
      <c r="T13" s="3">
        <v>44303545</v>
      </c>
    </row>
    <row r="14" spans="1:20" x14ac:dyDescent="0.2">
      <c r="A14" t="s">
        <v>67</v>
      </c>
      <c r="B14" s="2">
        <v>45914</v>
      </c>
      <c r="C14" t="s">
        <v>68</v>
      </c>
      <c r="D14" t="s">
        <v>69</v>
      </c>
      <c r="E14" t="s">
        <v>25</v>
      </c>
      <c r="F14" t="s">
        <v>26</v>
      </c>
      <c r="G14" t="s">
        <v>45</v>
      </c>
      <c r="H14" t="s">
        <v>46</v>
      </c>
      <c r="I14" t="s">
        <v>47</v>
      </c>
      <c r="J14">
        <v>3</v>
      </c>
      <c r="K14">
        <v>850000</v>
      </c>
      <c r="L14">
        <v>15</v>
      </c>
      <c r="M14">
        <v>21675000</v>
      </c>
      <c r="N14">
        <v>151077813</v>
      </c>
      <c r="O14" t="s">
        <v>256</v>
      </c>
      <c r="P14" t="s">
        <v>260</v>
      </c>
      <c r="Q14">
        <v>9</v>
      </c>
      <c r="R14" t="s">
        <v>270</v>
      </c>
      <c r="S14" s="3">
        <v>21675000</v>
      </c>
      <c r="T14" s="3">
        <v>151077813</v>
      </c>
    </row>
    <row r="15" spans="1:20" x14ac:dyDescent="0.2">
      <c r="A15" t="s">
        <v>70</v>
      </c>
      <c r="B15" s="2">
        <v>46190</v>
      </c>
      <c r="C15" t="s">
        <v>68</v>
      </c>
      <c r="D15" t="s">
        <v>69</v>
      </c>
      <c r="E15" t="s">
        <v>25</v>
      </c>
      <c r="F15" t="s">
        <v>18</v>
      </c>
      <c r="G15" t="s">
        <v>71</v>
      </c>
      <c r="H15" t="s">
        <v>72</v>
      </c>
      <c r="I15" t="s">
        <v>39</v>
      </c>
      <c r="J15">
        <v>7</v>
      </c>
      <c r="K15">
        <v>98000</v>
      </c>
      <c r="L15">
        <v>0</v>
      </c>
      <c r="M15">
        <v>686000</v>
      </c>
      <c r="N15">
        <v>51421391</v>
      </c>
      <c r="O15" t="s">
        <v>259</v>
      </c>
      <c r="P15" t="s">
        <v>257</v>
      </c>
      <c r="Q15">
        <v>6</v>
      </c>
      <c r="R15" t="s">
        <v>267</v>
      </c>
      <c r="S15" s="3">
        <v>686000</v>
      </c>
      <c r="T15" s="3">
        <v>51421391</v>
      </c>
    </row>
    <row r="16" spans="1:20" x14ac:dyDescent="0.2">
      <c r="A16" t="s">
        <v>73</v>
      </c>
      <c r="B16" s="2">
        <v>45816</v>
      </c>
      <c r="C16" t="s">
        <v>53</v>
      </c>
      <c r="D16" t="s">
        <v>54</v>
      </c>
      <c r="E16" t="s">
        <v>55</v>
      </c>
      <c r="F16" t="s">
        <v>18</v>
      </c>
      <c r="G16" t="s">
        <v>19</v>
      </c>
      <c r="H16" t="s">
        <v>20</v>
      </c>
      <c r="I16" t="s">
        <v>21</v>
      </c>
      <c r="J16">
        <v>2</v>
      </c>
      <c r="K16">
        <v>45000</v>
      </c>
      <c r="L16">
        <v>1</v>
      </c>
      <c r="M16">
        <v>810000</v>
      </c>
      <c r="N16">
        <v>4684088</v>
      </c>
      <c r="O16" t="s">
        <v>256</v>
      </c>
      <c r="P16" t="s">
        <v>257</v>
      </c>
      <c r="Q16">
        <v>6</v>
      </c>
      <c r="R16" t="s">
        <v>267</v>
      </c>
      <c r="S16" s="3">
        <v>810000</v>
      </c>
      <c r="T16" s="3">
        <v>4684088</v>
      </c>
    </row>
    <row r="17" spans="1:20" x14ac:dyDescent="0.2">
      <c r="A17" t="s">
        <v>74</v>
      </c>
      <c r="B17" s="2">
        <v>46042</v>
      </c>
      <c r="C17" t="s">
        <v>15</v>
      </c>
      <c r="D17" t="s">
        <v>16</v>
      </c>
      <c r="E17" t="s">
        <v>17</v>
      </c>
      <c r="F17" t="s">
        <v>30</v>
      </c>
      <c r="G17" t="s">
        <v>31</v>
      </c>
      <c r="H17" t="s">
        <v>32</v>
      </c>
      <c r="I17" t="s">
        <v>21</v>
      </c>
      <c r="J17">
        <v>2</v>
      </c>
      <c r="K17">
        <v>115000</v>
      </c>
      <c r="L17">
        <v>5</v>
      </c>
      <c r="M17">
        <v>2185000</v>
      </c>
      <c r="N17">
        <v>16914806</v>
      </c>
      <c r="O17" t="s">
        <v>259</v>
      </c>
      <c r="P17" t="s">
        <v>262</v>
      </c>
      <c r="Q17">
        <v>1</v>
      </c>
      <c r="R17" t="s">
        <v>271</v>
      </c>
      <c r="S17" s="3">
        <v>2185000</v>
      </c>
      <c r="T17" s="3">
        <v>16914806</v>
      </c>
    </row>
    <row r="18" spans="1:20" x14ac:dyDescent="0.2">
      <c r="A18" t="s">
        <v>75</v>
      </c>
      <c r="B18" s="2">
        <v>45906</v>
      </c>
      <c r="C18" t="s">
        <v>60</v>
      </c>
      <c r="D18" t="s">
        <v>61</v>
      </c>
      <c r="E18" t="s">
        <v>17</v>
      </c>
      <c r="F18" t="s">
        <v>18</v>
      </c>
      <c r="G18" t="s">
        <v>41</v>
      </c>
      <c r="H18" t="s">
        <v>42</v>
      </c>
      <c r="I18" t="s">
        <v>43</v>
      </c>
      <c r="J18">
        <v>2</v>
      </c>
      <c r="K18">
        <v>175000</v>
      </c>
      <c r="L18">
        <v>0</v>
      </c>
      <c r="M18">
        <v>350000</v>
      </c>
      <c r="N18">
        <v>22515358</v>
      </c>
      <c r="O18" t="s">
        <v>256</v>
      </c>
      <c r="P18" t="s">
        <v>260</v>
      </c>
      <c r="Q18">
        <v>9</v>
      </c>
      <c r="R18" t="s">
        <v>270</v>
      </c>
      <c r="S18" s="3">
        <v>350000</v>
      </c>
      <c r="T18" s="3">
        <v>22515358</v>
      </c>
    </row>
    <row r="19" spans="1:20" x14ac:dyDescent="0.2">
      <c r="A19" t="s">
        <v>76</v>
      </c>
      <c r="B19" s="2">
        <v>45958</v>
      </c>
      <c r="C19" t="s">
        <v>53</v>
      </c>
      <c r="D19" t="s">
        <v>54</v>
      </c>
      <c r="E19" t="s">
        <v>55</v>
      </c>
      <c r="F19" t="s">
        <v>49</v>
      </c>
      <c r="G19" t="s">
        <v>50</v>
      </c>
      <c r="H19" t="s">
        <v>51</v>
      </c>
      <c r="I19" t="s">
        <v>21</v>
      </c>
      <c r="J19">
        <v>6</v>
      </c>
      <c r="K19">
        <v>320000</v>
      </c>
      <c r="L19">
        <v>5</v>
      </c>
      <c r="M19">
        <v>18240000</v>
      </c>
      <c r="N19">
        <v>140094444</v>
      </c>
      <c r="O19" t="s">
        <v>256</v>
      </c>
      <c r="P19" t="s">
        <v>265</v>
      </c>
      <c r="Q19">
        <v>10</v>
      </c>
      <c r="R19" t="s">
        <v>272</v>
      </c>
      <c r="S19" s="3">
        <v>18240000</v>
      </c>
      <c r="T19" s="3">
        <v>140094444</v>
      </c>
    </row>
    <row r="20" spans="1:20" x14ac:dyDescent="0.2">
      <c r="A20" t="s">
        <v>77</v>
      </c>
      <c r="B20" s="2">
        <v>46113</v>
      </c>
      <c r="C20" t="s">
        <v>28</v>
      </c>
      <c r="D20" t="s">
        <v>29</v>
      </c>
      <c r="E20" t="s">
        <v>17</v>
      </c>
      <c r="F20" t="s">
        <v>18</v>
      </c>
      <c r="G20" t="s">
        <v>56</v>
      </c>
      <c r="H20" t="s">
        <v>57</v>
      </c>
      <c r="I20" t="s">
        <v>58</v>
      </c>
      <c r="J20">
        <v>4</v>
      </c>
      <c r="K20">
        <v>120000</v>
      </c>
      <c r="L20">
        <v>5</v>
      </c>
      <c r="M20">
        <v>4560000</v>
      </c>
      <c r="N20">
        <v>31746604</v>
      </c>
      <c r="O20" t="s">
        <v>259</v>
      </c>
      <c r="P20" t="s">
        <v>257</v>
      </c>
      <c r="Q20">
        <v>4</v>
      </c>
      <c r="R20" t="s">
        <v>258</v>
      </c>
      <c r="S20" s="3">
        <v>4560000</v>
      </c>
      <c r="T20" s="3">
        <v>31746604</v>
      </c>
    </row>
    <row r="21" spans="1:20" x14ac:dyDescent="0.2">
      <c r="A21" t="s">
        <v>78</v>
      </c>
      <c r="B21" s="2">
        <v>46247</v>
      </c>
      <c r="C21" t="s">
        <v>53</v>
      </c>
      <c r="D21" t="s">
        <v>54</v>
      </c>
      <c r="E21" t="s">
        <v>55</v>
      </c>
      <c r="F21" t="s">
        <v>36</v>
      </c>
      <c r="G21" t="s">
        <v>50</v>
      </c>
      <c r="H21" t="s">
        <v>51</v>
      </c>
      <c r="I21" t="s">
        <v>21</v>
      </c>
      <c r="J21">
        <v>1</v>
      </c>
      <c r="K21">
        <v>320000</v>
      </c>
      <c r="L21">
        <v>0</v>
      </c>
      <c r="M21">
        <v>320000</v>
      </c>
      <c r="N21">
        <v>2431529</v>
      </c>
      <c r="O21" t="s">
        <v>259</v>
      </c>
      <c r="P21" t="s">
        <v>260</v>
      </c>
      <c r="Q21">
        <v>8</v>
      </c>
      <c r="R21" t="s">
        <v>261</v>
      </c>
      <c r="S21" s="3">
        <v>320000</v>
      </c>
      <c r="T21" s="3">
        <v>2431529</v>
      </c>
    </row>
    <row r="22" spans="1:20" x14ac:dyDescent="0.2">
      <c r="A22" t="s">
        <v>79</v>
      </c>
      <c r="B22" s="2">
        <v>46371</v>
      </c>
      <c r="C22" t="s">
        <v>53</v>
      </c>
      <c r="D22" t="s">
        <v>54</v>
      </c>
      <c r="E22" t="s">
        <v>55</v>
      </c>
      <c r="F22" t="s">
        <v>49</v>
      </c>
      <c r="G22" t="s">
        <v>31</v>
      </c>
      <c r="H22" t="s">
        <v>32</v>
      </c>
      <c r="I22" t="s">
        <v>21</v>
      </c>
      <c r="J22">
        <v>5</v>
      </c>
      <c r="K22">
        <v>115000</v>
      </c>
      <c r="L22">
        <v>5</v>
      </c>
      <c r="M22">
        <v>5462500</v>
      </c>
      <c r="N22">
        <v>3731479</v>
      </c>
      <c r="O22" t="s">
        <v>259</v>
      </c>
      <c r="P22" t="s">
        <v>265</v>
      </c>
      <c r="Q22">
        <v>12</v>
      </c>
      <c r="R22" t="s">
        <v>273</v>
      </c>
      <c r="S22" s="3">
        <v>5462500</v>
      </c>
      <c r="T22" s="3">
        <v>3731479</v>
      </c>
    </row>
    <row r="23" spans="1:20" x14ac:dyDescent="0.2">
      <c r="A23" t="s">
        <v>80</v>
      </c>
      <c r="B23" s="2">
        <v>46296</v>
      </c>
      <c r="C23" t="s">
        <v>68</v>
      </c>
      <c r="D23" t="s">
        <v>69</v>
      </c>
      <c r="E23" t="s">
        <v>25</v>
      </c>
      <c r="F23" t="s">
        <v>49</v>
      </c>
      <c r="G23" t="s">
        <v>41</v>
      </c>
      <c r="H23" t="s">
        <v>42</v>
      </c>
      <c r="I23" t="s">
        <v>43</v>
      </c>
      <c r="J23">
        <v>8</v>
      </c>
      <c r="K23">
        <v>175000</v>
      </c>
      <c r="L23">
        <v>15</v>
      </c>
      <c r="M23">
        <v>11900000</v>
      </c>
      <c r="N23">
        <v>108491528</v>
      </c>
      <c r="O23" t="s">
        <v>259</v>
      </c>
      <c r="P23" t="s">
        <v>265</v>
      </c>
      <c r="Q23">
        <v>10</v>
      </c>
      <c r="R23" t="s">
        <v>272</v>
      </c>
      <c r="S23" s="3">
        <v>11900000</v>
      </c>
      <c r="T23" s="3">
        <v>108491528</v>
      </c>
    </row>
    <row r="24" spans="1:20" x14ac:dyDescent="0.2">
      <c r="A24" t="s">
        <v>81</v>
      </c>
      <c r="B24" s="2">
        <v>45745</v>
      </c>
      <c r="C24" t="s">
        <v>34</v>
      </c>
      <c r="D24" t="s">
        <v>35</v>
      </c>
      <c r="E24" t="s">
        <v>25</v>
      </c>
      <c r="F24" t="s">
        <v>26</v>
      </c>
      <c r="G24" t="s">
        <v>71</v>
      </c>
      <c r="H24" t="s">
        <v>72</v>
      </c>
      <c r="I24" t="s">
        <v>39</v>
      </c>
      <c r="J24">
        <v>5</v>
      </c>
      <c r="K24">
        <v>98000</v>
      </c>
      <c r="L24">
        <v>5</v>
      </c>
      <c r="M24">
        <v>4655000</v>
      </c>
      <c r="N24">
        <v>3132779</v>
      </c>
      <c r="O24" t="s">
        <v>256</v>
      </c>
      <c r="P24" t="s">
        <v>262</v>
      </c>
      <c r="Q24">
        <v>3</v>
      </c>
      <c r="R24" t="s">
        <v>263</v>
      </c>
      <c r="S24" s="3">
        <v>4655000</v>
      </c>
      <c r="T24" s="3">
        <v>3132779</v>
      </c>
    </row>
    <row r="25" spans="1:20" x14ac:dyDescent="0.2">
      <c r="A25" t="s">
        <v>82</v>
      </c>
      <c r="B25" s="2">
        <v>45753</v>
      </c>
      <c r="C25" t="s">
        <v>28</v>
      </c>
      <c r="D25" t="s">
        <v>29</v>
      </c>
      <c r="E25" t="s">
        <v>17</v>
      </c>
      <c r="F25" t="s">
        <v>49</v>
      </c>
      <c r="G25" t="s">
        <v>37</v>
      </c>
      <c r="H25" t="s">
        <v>38</v>
      </c>
      <c r="I25" t="s">
        <v>39</v>
      </c>
      <c r="J25">
        <v>7</v>
      </c>
      <c r="K25">
        <v>145000</v>
      </c>
      <c r="L25">
        <v>5</v>
      </c>
      <c r="M25">
        <v>9642500</v>
      </c>
      <c r="N25">
        <v>75927698</v>
      </c>
      <c r="O25" t="s">
        <v>256</v>
      </c>
      <c r="P25" t="s">
        <v>257</v>
      </c>
      <c r="Q25">
        <v>4</v>
      </c>
      <c r="R25" t="s">
        <v>258</v>
      </c>
      <c r="S25" s="3">
        <v>9642500</v>
      </c>
      <c r="T25" s="3">
        <v>75927698</v>
      </c>
    </row>
    <row r="26" spans="1:20" x14ac:dyDescent="0.2">
      <c r="A26" t="s">
        <v>83</v>
      </c>
      <c r="B26" s="2">
        <v>45761</v>
      </c>
      <c r="C26" t="s">
        <v>28</v>
      </c>
      <c r="D26" t="s">
        <v>29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>
        <v>8</v>
      </c>
      <c r="K26">
        <v>45000</v>
      </c>
      <c r="L26">
        <v>15</v>
      </c>
      <c r="M26">
        <v>3060000</v>
      </c>
      <c r="N26">
        <v>27734416</v>
      </c>
      <c r="O26" t="s">
        <v>256</v>
      </c>
      <c r="P26" t="s">
        <v>257</v>
      </c>
      <c r="Q26">
        <v>4</v>
      </c>
      <c r="R26" t="s">
        <v>258</v>
      </c>
      <c r="S26" s="3">
        <v>3060000</v>
      </c>
      <c r="T26" s="3">
        <v>27734416</v>
      </c>
    </row>
    <row r="27" spans="1:20" x14ac:dyDescent="0.2">
      <c r="A27" t="s">
        <v>84</v>
      </c>
      <c r="B27" s="2">
        <v>46150</v>
      </c>
      <c r="C27" t="s">
        <v>85</v>
      </c>
      <c r="D27" t="s">
        <v>86</v>
      </c>
      <c r="E27" t="s">
        <v>25</v>
      </c>
      <c r="F27" t="s">
        <v>18</v>
      </c>
      <c r="G27" t="s">
        <v>37</v>
      </c>
      <c r="H27" t="s">
        <v>38</v>
      </c>
      <c r="I27" t="s">
        <v>39</v>
      </c>
      <c r="J27">
        <v>8</v>
      </c>
      <c r="K27">
        <v>145000</v>
      </c>
      <c r="L27">
        <v>15</v>
      </c>
      <c r="M27">
        <v>9860000</v>
      </c>
      <c r="N27">
        <v>8135448</v>
      </c>
      <c r="O27" t="s">
        <v>259</v>
      </c>
      <c r="P27" t="s">
        <v>257</v>
      </c>
      <c r="Q27">
        <v>5</v>
      </c>
      <c r="R27" t="s">
        <v>269</v>
      </c>
      <c r="S27" s="3">
        <v>9860000</v>
      </c>
      <c r="T27" s="3">
        <v>8135448</v>
      </c>
    </row>
    <row r="28" spans="1:20" x14ac:dyDescent="0.2">
      <c r="A28" t="s">
        <v>87</v>
      </c>
      <c r="B28" s="2">
        <v>46310</v>
      </c>
      <c r="C28" t="s">
        <v>85</v>
      </c>
      <c r="D28" t="s">
        <v>86</v>
      </c>
      <c r="E28" t="s">
        <v>25</v>
      </c>
      <c r="F28" t="s">
        <v>18</v>
      </c>
      <c r="G28" t="s">
        <v>56</v>
      </c>
      <c r="H28" t="s">
        <v>57</v>
      </c>
      <c r="I28" t="s">
        <v>58</v>
      </c>
      <c r="J28">
        <v>6</v>
      </c>
      <c r="K28">
        <v>120000</v>
      </c>
      <c r="L28">
        <v>5</v>
      </c>
      <c r="M28">
        <v>6840000</v>
      </c>
      <c r="N28">
        <v>48790812</v>
      </c>
      <c r="O28" t="s">
        <v>259</v>
      </c>
      <c r="P28" t="s">
        <v>265</v>
      </c>
      <c r="Q28">
        <v>10</v>
      </c>
      <c r="R28" t="s">
        <v>272</v>
      </c>
      <c r="S28" s="3">
        <v>6840000</v>
      </c>
      <c r="T28" s="3">
        <v>48790812</v>
      </c>
    </row>
    <row r="29" spans="1:20" x14ac:dyDescent="0.2">
      <c r="A29" t="s">
        <v>88</v>
      </c>
      <c r="B29" s="2">
        <v>45879</v>
      </c>
      <c r="C29" t="s">
        <v>60</v>
      </c>
      <c r="D29" t="s">
        <v>61</v>
      </c>
      <c r="E29" t="s">
        <v>17</v>
      </c>
      <c r="F29" t="s">
        <v>36</v>
      </c>
      <c r="G29" t="s">
        <v>50</v>
      </c>
      <c r="H29" t="s">
        <v>51</v>
      </c>
      <c r="I29" t="s">
        <v>21</v>
      </c>
      <c r="J29">
        <v>8</v>
      </c>
      <c r="K29">
        <v>320000</v>
      </c>
      <c r="L29">
        <v>0</v>
      </c>
      <c r="M29">
        <v>2560000</v>
      </c>
      <c r="N29">
        <v>189633304</v>
      </c>
      <c r="O29" t="s">
        <v>256</v>
      </c>
      <c r="P29" t="s">
        <v>260</v>
      </c>
      <c r="Q29">
        <v>8</v>
      </c>
      <c r="R29" t="s">
        <v>261</v>
      </c>
      <c r="S29" s="3">
        <v>2560000</v>
      </c>
      <c r="T29" s="3">
        <v>189633304</v>
      </c>
    </row>
    <row r="30" spans="1:20" x14ac:dyDescent="0.2">
      <c r="A30" t="s">
        <v>89</v>
      </c>
      <c r="B30" s="2">
        <v>46294</v>
      </c>
      <c r="C30" t="s">
        <v>60</v>
      </c>
      <c r="D30" t="s">
        <v>61</v>
      </c>
      <c r="E30" t="s">
        <v>17</v>
      </c>
      <c r="F30" t="s">
        <v>49</v>
      </c>
      <c r="G30" t="s">
        <v>50</v>
      </c>
      <c r="H30" t="s">
        <v>51</v>
      </c>
      <c r="I30" t="s">
        <v>21</v>
      </c>
      <c r="J30">
        <v>6</v>
      </c>
      <c r="K30">
        <v>320000</v>
      </c>
      <c r="L30">
        <v>1</v>
      </c>
      <c r="M30">
        <v>17280000</v>
      </c>
      <c r="N30">
        <v>144999078</v>
      </c>
      <c r="O30" t="s">
        <v>259</v>
      </c>
      <c r="P30" t="s">
        <v>260</v>
      </c>
      <c r="Q30">
        <v>9</v>
      </c>
      <c r="R30" t="s">
        <v>270</v>
      </c>
      <c r="S30" s="3">
        <v>17280000</v>
      </c>
      <c r="T30" s="3">
        <v>144999078</v>
      </c>
    </row>
    <row r="31" spans="1:20" x14ac:dyDescent="0.2">
      <c r="A31" t="s">
        <v>90</v>
      </c>
      <c r="B31" s="2">
        <v>46363</v>
      </c>
      <c r="C31" t="s">
        <v>53</v>
      </c>
      <c r="D31" t="s">
        <v>54</v>
      </c>
      <c r="E31" t="s">
        <v>55</v>
      </c>
      <c r="F31" t="s">
        <v>18</v>
      </c>
      <c r="G31" t="s">
        <v>41</v>
      </c>
      <c r="H31" t="s">
        <v>42</v>
      </c>
      <c r="I31" t="s">
        <v>43</v>
      </c>
      <c r="J31">
        <v>6</v>
      </c>
      <c r="K31">
        <v>175000</v>
      </c>
      <c r="L31">
        <v>1</v>
      </c>
      <c r="M31">
        <v>9450000</v>
      </c>
      <c r="N31">
        <v>76129248</v>
      </c>
      <c r="O31" t="s">
        <v>259</v>
      </c>
      <c r="P31" t="s">
        <v>265</v>
      </c>
      <c r="Q31">
        <v>12</v>
      </c>
      <c r="R31" t="s">
        <v>273</v>
      </c>
      <c r="S31" s="3">
        <v>9450000</v>
      </c>
      <c r="T31" s="3">
        <v>76129248</v>
      </c>
    </row>
    <row r="32" spans="1:20" x14ac:dyDescent="0.2">
      <c r="A32" t="s">
        <v>91</v>
      </c>
      <c r="B32" s="2">
        <v>45974</v>
      </c>
      <c r="C32" t="s">
        <v>68</v>
      </c>
      <c r="D32" t="s">
        <v>69</v>
      </c>
      <c r="E32" t="s">
        <v>25</v>
      </c>
      <c r="F32" t="s">
        <v>30</v>
      </c>
      <c r="G32" t="s">
        <v>31</v>
      </c>
      <c r="H32" t="s">
        <v>32</v>
      </c>
      <c r="I32" t="s">
        <v>21</v>
      </c>
      <c r="J32">
        <v>7</v>
      </c>
      <c r="K32">
        <v>115000</v>
      </c>
      <c r="L32">
        <v>1</v>
      </c>
      <c r="M32">
        <v>7245000</v>
      </c>
      <c r="N32">
        <v>50792469</v>
      </c>
      <c r="O32" t="s">
        <v>256</v>
      </c>
      <c r="P32" t="s">
        <v>265</v>
      </c>
      <c r="Q32">
        <v>11</v>
      </c>
      <c r="R32" t="s">
        <v>266</v>
      </c>
      <c r="S32" s="3">
        <v>7245000</v>
      </c>
      <c r="T32" s="3">
        <v>50792469</v>
      </c>
    </row>
    <row r="33" spans="1:20" x14ac:dyDescent="0.2">
      <c r="A33" t="s">
        <v>92</v>
      </c>
      <c r="B33" s="2">
        <v>46260</v>
      </c>
      <c r="C33" t="s">
        <v>53</v>
      </c>
      <c r="D33" t="s">
        <v>54</v>
      </c>
      <c r="E33" t="s">
        <v>55</v>
      </c>
      <c r="F33" t="s">
        <v>18</v>
      </c>
      <c r="G33" t="s">
        <v>50</v>
      </c>
      <c r="H33" t="s">
        <v>51</v>
      </c>
      <c r="I33" t="s">
        <v>21</v>
      </c>
      <c r="J33">
        <v>6</v>
      </c>
      <c r="K33">
        <v>320000</v>
      </c>
      <c r="L33">
        <v>5</v>
      </c>
      <c r="M33">
        <v>18240000</v>
      </c>
      <c r="N33">
        <v>11436993</v>
      </c>
      <c r="O33" t="s">
        <v>259</v>
      </c>
      <c r="P33" t="s">
        <v>260</v>
      </c>
      <c r="Q33">
        <v>8</v>
      </c>
      <c r="R33" t="s">
        <v>261</v>
      </c>
      <c r="S33" s="3">
        <v>18240000</v>
      </c>
      <c r="T33" s="3">
        <v>11436993</v>
      </c>
    </row>
    <row r="34" spans="1:20" x14ac:dyDescent="0.2">
      <c r="A34" t="s">
        <v>93</v>
      </c>
      <c r="B34" s="2">
        <v>46143</v>
      </c>
      <c r="C34" t="s">
        <v>60</v>
      </c>
      <c r="D34" t="s">
        <v>61</v>
      </c>
      <c r="E34" t="s">
        <v>17</v>
      </c>
      <c r="F34" t="s">
        <v>49</v>
      </c>
      <c r="G34" t="s">
        <v>31</v>
      </c>
      <c r="H34" t="s">
        <v>32</v>
      </c>
      <c r="I34" t="s">
        <v>21</v>
      </c>
      <c r="J34">
        <v>3</v>
      </c>
      <c r="K34">
        <v>115000</v>
      </c>
      <c r="L34">
        <v>5</v>
      </c>
      <c r="M34">
        <v>3277500</v>
      </c>
      <c r="N34">
        <v>22727022</v>
      </c>
      <c r="O34" t="s">
        <v>259</v>
      </c>
      <c r="P34" t="s">
        <v>257</v>
      </c>
      <c r="Q34">
        <v>5</v>
      </c>
      <c r="R34" t="s">
        <v>269</v>
      </c>
      <c r="S34" s="3">
        <v>3277500</v>
      </c>
      <c r="T34" s="3">
        <v>22727022</v>
      </c>
    </row>
    <row r="35" spans="1:20" x14ac:dyDescent="0.2">
      <c r="A35" t="s">
        <v>94</v>
      </c>
      <c r="B35" s="2">
        <v>46158</v>
      </c>
      <c r="C35" t="s">
        <v>28</v>
      </c>
      <c r="D35" t="s">
        <v>29</v>
      </c>
      <c r="E35" t="s">
        <v>17</v>
      </c>
      <c r="F35" t="s">
        <v>30</v>
      </c>
      <c r="G35" t="s">
        <v>45</v>
      </c>
      <c r="H35" t="s">
        <v>46</v>
      </c>
      <c r="I35" t="s">
        <v>47</v>
      </c>
      <c r="J35">
        <v>6</v>
      </c>
      <c r="K35">
        <v>850000</v>
      </c>
      <c r="L35">
        <v>0</v>
      </c>
      <c r="M35">
        <v>5100000</v>
      </c>
      <c r="N35">
        <v>367916184</v>
      </c>
      <c r="O35" t="s">
        <v>259</v>
      </c>
      <c r="P35" t="s">
        <v>257</v>
      </c>
      <c r="Q35">
        <v>5</v>
      </c>
      <c r="R35" t="s">
        <v>269</v>
      </c>
      <c r="S35" s="3">
        <v>5100000</v>
      </c>
      <c r="T35" s="3">
        <v>367916184</v>
      </c>
    </row>
    <row r="36" spans="1:20" x14ac:dyDescent="0.2">
      <c r="A36" t="s">
        <v>95</v>
      </c>
      <c r="B36" s="2">
        <v>45810</v>
      </c>
      <c r="C36" t="s">
        <v>65</v>
      </c>
      <c r="D36" t="s">
        <v>66</v>
      </c>
      <c r="E36" t="s">
        <v>17</v>
      </c>
      <c r="F36" t="s">
        <v>26</v>
      </c>
      <c r="G36" t="s">
        <v>19</v>
      </c>
      <c r="H36" t="s">
        <v>20</v>
      </c>
      <c r="I36" t="s">
        <v>21</v>
      </c>
      <c r="J36">
        <v>5</v>
      </c>
      <c r="K36">
        <v>45000</v>
      </c>
      <c r="L36">
        <v>5</v>
      </c>
      <c r="M36">
        <v>2137500</v>
      </c>
      <c r="N36">
        <v>1521134</v>
      </c>
      <c r="O36" t="s">
        <v>256</v>
      </c>
      <c r="P36" t="s">
        <v>257</v>
      </c>
      <c r="Q36">
        <v>6</v>
      </c>
      <c r="R36" t="s">
        <v>267</v>
      </c>
      <c r="S36" s="3">
        <v>2137500</v>
      </c>
      <c r="T36" s="3">
        <v>1521134</v>
      </c>
    </row>
    <row r="37" spans="1:20" x14ac:dyDescent="0.2">
      <c r="A37" t="s">
        <v>96</v>
      </c>
      <c r="B37" s="2">
        <v>46368</v>
      </c>
      <c r="C37" t="s">
        <v>68</v>
      </c>
      <c r="D37" t="s">
        <v>69</v>
      </c>
      <c r="E37" t="s">
        <v>25</v>
      </c>
      <c r="F37" t="s">
        <v>30</v>
      </c>
      <c r="G37" t="s">
        <v>45</v>
      </c>
      <c r="H37" t="s">
        <v>46</v>
      </c>
      <c r="I37" t="s">
        <v>47</v>
      </c>
      <c r="J37">
        <v>1</v>
      </c>
      <c r="K37">
        <v>850000</v>
      </c>
      <c r="L37">
        <v>15</v>
      </c>
      <c r="M37">
        <v>7225000</v>
      </c>
      <c r="N37">
        <v>59502039</v>
      </c>
      <c r="O37" t="s">
        <v>259</v>
      </c>
      <c r="P37" t="s">
        <v>265</v>
      </c>
      <c r="Q37">
        <v>12</v>
      </c>
      <c r="R37" t="s">
        <v>273</v>
      </c>
      <c r="S37" s="3">
        <v>7225000</v>
      </c>
      <c r="T37" s="3">
        <v>59502039</v>
      </c>
    </row>
    <row r="38" spans="1:20" x14ac:dyDescent="0.2">
      <c r="A38" t="s">
        <v>97</v>
      </c>
      <c r="B38" s="2">
        <v>45968</v>
      </c>
      <c r="C38" t="s">
        <v>34</v>
      </c>
      <c r="D38" t="s">
        <v>35</v>
      </c>
      <c r="E38" t="s">
        <v>25</v>
      </c>
      <c r="F38" t="s">
        <v>26</v>
      </c>
      <c r="G38" t="s">
        <v>41</v>
      </c>
      <c r="H38" t="s">
        <v>42</v>
      </c>
      <c r="I38" t="s">
        <v>43</v>
      </c>
      <c r="J38">
        <v>6</v>
      </c>
      <c r="K38">
        <v>175000</v>
      </c>
      <c r="L38">
        <v>1</v>
      </c>
      <c r="M38">
        <v>9450000</v>
      </c>
      <c r="N38">
        <v>66255672</v>
      </c>
      <c r="O38" t="s">
        <v>256</v>
      </c>
      <c r="P38" t="s">
        <v>265</v>
      </c>
      <c r="Q38">
        <v>11</v>
      </c>
      <c r="R38" t="s">
        <v>266</v>
      </c>
      <c r="S38" s="3">
        <v>9450000</v>
      </c>
      <c r="T38" s="3">
        <v>66255672</v>
      </c>
    </row>
    <row r="39" spans="1:20" x14ac:dyDescent="0.2">
      <c r="A39" t="s">
        <v>98</v>
      </c>
      <c r="B39" s="2">
        <v>45977</v>
      </c>
      <c r="C39" t="s">
        <v>60</v>
      </c>
      <c r="D39" t="s">
        <v>61</v>
      </c>
      <c r="E39" t="s">
        <v>17</v>
      </c>
      <c r="F39" t="s">
        <v>36</v>
      </c>
      <c r="G39" t="s">
        <v>37</v>
      </c>
      <c r="H39" t="s">
        <v>38</v>
      </c>
      <c r="I39" t="s">
        <v>39</v>
      </c>
      <c r="J39">
        <v>7</v>
      </c>
      <c r="K39">
        <v>145000</v>
      </c>
      <c r="L39">
        <v>0</v>
      </c>
      <c r="M39">
        <v>1015000</v>
      </c>
      <c r="N39">
        <v>70676515</v>
      </c>
      <c r="O39" t="s">
        <v>256</v>
      </c>
      <c r="P39" t="s">
        <v>265</v>
      </c>
      <c r="Q39">
        <v>11</v>
      </c>
      <c r="R39" t="s">
        <v>266</v>
      </c>
      <c r="S39" s="3">
        <v>1015000</v>
      </c>
      <c r="T39" s="3">
        <v>70676515</v>
      </c>
    </row>
    <row r="40" spans="1:20" x14ac:dyDescent="0.2">
      <c r="A40" t="s">
        <v>99</v>
      </c>
      <c r="B40" s="2">
        <v>46324</v>
      </c>
      <c r="C40" t="s">
        <v>85</v>
      </c>
      <c r="D40" t="s">
        <v>86</v>
      </c>
      <c r="E40" t="s">
        <v>25</v>
      </c>
      <c r="F40" t="s">
        <v>30</v>
      </c>
      <c r="G40" t="s">
        <v>50</v>
      </c>
      <c r="H40" t="s">
        <v>51</v>
      </c>
      <c r="I40" t="s">
        <v>21</v>
      </c>
      <c r="J40">
        <v>3</v>
      </c>
      <c r="K40">
        <v>320000</v>
      </c>
      <c r="L40">
        <v>0</v>
      </c>
      <c r="M40">
        <v>960000</v>
      </c>
      <c r="N40">
        <v>59151897</v>
      </c>
      <c r="O40" t="s">
        <v>259</v>
      </c>
      <c r="P40" t="s">
        <v>265</v>
      </c>
      <c r="Q40">
        <v>10</v>
      </c>
      <c r="R40" t="s">
        <v>272</v>
      </c>
      <c r="S40" s="3">
        <v>960000</v>
      </c>
      <c r="T40" s="3">
        <v>59151897</v>
      </c>
    </row>
    <row r="41" spans="1:20" x14ac:dyDescent="0.2">
      <c r="A41" t="s">
        <v>100</v>
      </c>
      <c r="B41" s="2">
        <v>45965</v>
      </c>
      <c r="C41" t="s">
        <v>85</v>
      </c>
      <c r="D41" t="s">
        <v>86</v>
      </c>
      <c r="E41" t="s">
        <v>25</v>
      </c>
      <c r="F41" t="s">
        <v>49</v>
      </c>
      <c r="G41" t="s">
        <v>50</v>
      </c>
      <c r="H41" t="s">
        <v>51</v>
      </c>
      <c r="I41" t="s">
        <v>21</v>
      </c>
      <c r="J41">
        <v>6</v>
      </c>
      <c r="K41">
        <v>320000</v>
      </c>
      <c r="L41">
        <v>15</v>
      </c>
      <c r="M41">
        <v>16320000</v>
      </c>
      <c r="N41">
        <v>137808792</v>
      </c>
      <c r="O41" t="s">
        <v>256</v>
      </c>
      <c r="P41" t="s">
        <v>265</v>
      </c>
      <c r="Q41">
        <v>11</v>
      </c>
      <c r="R41" t="s">
        <v>266</v>
      </c>
      <c r="S41" s="3">
        <v>16320000</v>
      </c>
      <c r="T41" s="3">
        <v>137808792</v>
      </c>
    </row>
    <row r="42" spans="1:20" x14ac:dyDescent="0.2">
      <c r="A42" t="s">
        <v>101</v>
      </c>
      <c r="B42" s="2">
        <v>45861</v>
      </c>
      <c r="C42" t="s">
        <v>15</v>
      </c>
      <c r="D42" t="s">
        <v>16</v>
      </c>
      <c r="E42" t="s">
        <v>17</v>
      </c>
      <c r="F42" t="s">
        <v>49</v>
      </c>
      <c r="G42" t="s">
        <v>56</v>
      </c>
      <c r="H42" t="s">
        <v>57</v>
      </c>
      <c r="I42" t="s">
        <v>58</v>
      </c>
      <c r="J42">
        <v>3</v>
      </c>
      <c r="K42">
        <v>120000</v>
      </c>
      <c r="L42">
        <v>0</v>
      </c>
      <c r="M42">
        <v>360000</v>
      </c>
      <c r="N42">
        <v>21160497</v>
      </c>
      <c r="O42" t="s">
        <v>256</v>
      </c>
      <c r="P42" t="s">
        <v>260</v>
      </c>
      <c r="Q42">
        <v>7</v>
      </c>
      <c r="R42" t="s">
        <v>264</v>
      </c>
      <c r="S42" s="3">
        <v>360000</v>
      </c>
      <c r="T42" s="3">
        <v>21160497</v>
      </c>
    </row>
    <row r="43" spans="1:20" x14ac:dyDescent="0.2">
      <c r="A43" t="s">
        <v>102</v>
      </c>
      <c r="B43" s="2">
        <v>45732</v>
      </c>
      <c r="C43" t="s">
        <v>34</v>
      </c>
      <c r="D43" t="s">
        <v>35</v>
      </c>
      <c r="E43" t="s">
        <v>25</v>
      </c>
      <c r="F43" t="s">
        <v>49</v>
      </c>
      <c r="G43" t="s">
        <v>19</v>
      </c>
      <c r="H43" t="s">
        <v>20</v>
      </c>
      <c r="I43" t="s">
        <v>21</v>
      </c>
      <c r="J43">
        <v>7</v>
      </c>
      <c r="K43">
        <v>45000</v>
      </c>
      <c r="L43">
        <v>1</v>
      </c>
      <c r="M43">
        <v>2835000</v>
      </c>
      <c r="N43">
        <v>17286766</v>
      </c>
      <c r="O43" t="s">
        <v>256</v>
      </c>
      <c r="P43" t="s">
        <v>262</v>
      </c>
      <c r="Q43">
        <v>3</v>
      </c>
      <c r="R43" t="s">
        <v>263</v>
      </c>
      <c r="S43" s="3">
        <v>2835000</v>
      </c>
      <c r="T43" s="3">
        <v>17286766</v>
      </c>
    </row>
    <row r="44" spans="1:20" x14ac:dyDescent="0.2">
      <c r="A44" t="s">
        <v>103</v>
      </c>
      <c r="B44" s="2">
        <v>46083</v>
      </c>
      <c r="C44" t="s">
        <v>68</v>
      </c>
      <c r="D44" t="s">
        <v>69</v>
      </c>
      <c r="E44" t="s">
        <v>25</v>
      </c>
      <c r="F44" t="s">
        <v>36</v>
      </c>
      <c r="G44" t="s">
        <v>45</v>
      </c>
      <c r="H44" t="s">
        <v>46</v>
      </c>
      <c r="I44" t="s">
        <v>47</v>
      </c>
      <c r="J44">
        <v>7</v>
      </c>
      <c r="K44">
        <v>850000</v>
      </c>
      <c r="L44">
        <v>15</v>
      </c>
      <c r="M44">
        <v>50575000</v>
      </c>
      <c r="N44">
        <v>424610543</v>
      </c>
      <c r="O44" t="s">
        <v>259</v>
      </c>
      <c r="P44" t="s">
        <v>262</v>
      </c>
      <c r="Q44">
        <v>3</v>
      </c>
      <c r="R44" t="s">
        <v>263</v>
      </c>
      <c r="S44" s="3">
        <v>50575000</v>
      </c>
      <c r="T44" s="3">
        <v>424610543</v>
      </c>
    </row>
    <row r="45" spans="1:20" x14ac:dyDescent="0.2">
      <c r="A45" t="s">
        <v>104</v>
      </c>
      <c r="B45" s="2">
        <v>46280</v>
      </c>
      <c r="C45" t="s">
        <v>34</v>
      </c>
      <c r="D45" t="s">
        <v>35</v>
      </c>
      <c r="E45" t="s">
        <v>25</v>
      </c>
      <c r="F45" t="s">
        <v>36</v>
      </c>
      <c r="G45" t="s">
        <v>56</v>
      </c>
      <c r="H45" t="s">
        <v>57</v>
      </c>
      <c r="I45" t="s">
        <v>58</v>
      </c>
      <c r="J45">
        <v>3</v>
      </c>
      <c r="K45">
        <v>120000</v>
      </c>
      <c r="L45">
        <v>0</v>
      </c>
      <c r="M45">
        <v>360000</v>
      </c>
      <c r="N45">
        <v>21049464</v>
      </c>
      <c r="O45" t="s">
        <v>259</v>
      </c>
      <c r="P45" t="s">
        <v>260</v>
      </c>
      <c r="Q45">
        <v>9</v>
      </c>
      <c r="R45" t="s">
        <v>270</v>
      </c>
      <c r="S45" s="3">
        <v>360000</v>
      </c>
      <c r="T45" s="3">
        <v>21049464</v>
      </c>
    </row>
    <row r="46" spans="1:20" x14ac:dyDescent="0.2">
      <c r="A46" t="s">
        <v>105</v>
      </c>
      <c r="B46" s="2">
        <v>46026</v>
      </c>
      <c r="C46" t="s">
        <v>106</v>
      </c>
      <c r="D46" t="s">
        <v>107</v>
      </c>
      <c r="E46" t="s">
        <v>55</v>
      </c>
      <c r="F46" t="s">
        <v>30</v>
      </c>
      <c r="G46" t="s">
        <v>45</v>
      </c>
      <c r="H46" t="s">
        <v>46</v>
      </c>
      <c r="I46" t="s">
        <v>47</v>
      </c>
      <c r="J46">
        <v>8</v>
      </c>
      <c r="K46">
        <v>850000</v>
      </c>
      <c r="L46">
        <v>15</v>
      </c>
      <c r="M46">
        <v>57800000</v>
      </c>
      <c r="N46">
        <v>458230096</v>
      </c>
      <c r="O46" t="s">
        <v>259</v>
      </c>
      <c r="P46" t="s">
        <v>262</v>
      </c>
      <c r="Q46">
        <v>1</v>
      </c>
      <c r="R46" t="s">
        <v>271</v>
      </c>
      <c r="S46" s="3">
        <v>57800000</v>
      </c>
      <c r="T46" s="3">
        <v>458230096</v>
      </c>
    </row>
    <row r="47" spans="1:20" x14ac:dyDescent="0.2">
      <c r="A47" t="s">
        <v>108</v>
      </c>
      <c r="B47" s="2">
        <v>45978</v>
      </c>
      <c r="C47" t="s">
        <v>28</v>
      </c>
      <c r="D47" t="s">
        <v>29</v>
      </c>
      <c r="E47" t="s">
        <v>17</v>
      </c>
      <c r="F47" t="s">
        <v>36</v>
      </c>
      <c r="G47" t="s">
        <v>19</v>
      </c>
      <c r="H47" t="s">
        <v>20</v>
      </c>
      <c r="I47" t="s">
        <v>21</v>
      </c>
      <c r="J47">
        <v>4</v>
      </c>
      <c r="K47">
        <v>45000</v>
      </c>
      <c r="L47">
        <v>1</v>
      </c>
      <c r="M47">
        <v>1620000</v>
      </c>
      <c r="N47">
        <v>11605824</v>
      </c>
      <c r="O47" t="s">
        <v>256</v>
      </c>
      <c r="P47" t="s">
        <v>265</v>
      </c>
      <c r="Q47">
        <v>11</v>
      </c>
      <c r="R47" t="s">
        <v>266</v>
      </c>
      <c r="S47" s="3">
        <v>1620000</v>
      </c>
      <c r="T47" s="3">
        <v>11605824</v>
      </c>
    </row>
    <row r="48" spans="1:20" x14ac:dyDescent="0.2">
      <c r="A48" t="s">
        <v>109</v>
      </c>
      <c r="B48" s="2">
        <v>46314</v>
      </c>
      <c r="C48" t="s">
        <v>68</v>
      </c>
      <c r="D48" t="s">
        <v>69</v>
      </c>
      <c r="E48" t="s">
        <v>25</v>
      </c>
      <c r="F48" t="s">
        <v>18</v>
      </c>
      <c r="G48" t="s">
        <v>41</v>
      </c>
      <c r="H48" t="s">
        <v>42</v>
      </c>
      <c r="I48" t="s">
        <v>43</v>
      </c>
      <c r="J48">
        <v>3</v>
      </c>
      <c r="K48">
        <v>175000</v>
      </c>
      <c r="L48">
        <v>1</v>
      </c>
      <c r="M48">
        <v>4725000</v>
      </c>
      <c r="N48">
        <v>40522986</v>
      </c>
      <c r="O48" t="s">
        <v>259</v>
      </c>
      <c r="P48" t="s">
        <v>265</v>
      </c>
      <c r="Q48">
        <v>10</v>
      </c>
      <c r="R48" t="s">
        <v>272</v>
      </c>
      <c r="S48" s="3">
        <v>4725000</v>
      </c>
      <c r="T48" s="3">
        <v>40522986</v>
      </c>
    </row>
    <row r="49" spans="1:20" x14ac:dyDescent="0.2">
      <c r="A49" t="s">
        <v>110</v>
      </c>
      <c r="B49" s="2">
        <v>46082</v>
      </c>
      <c r="C49" t="s">
        <v>68</v>
      </c>
      <c r="D49" t="s">
        <v>69</v>
      </c>
      <c r="E49" t="s">
        <v>25</v>
      </c>
      <c r="F49" t="s">
        <v>49</v>
      </c>
      <c r="G49" t="s">
        <v>56</v>
      </c>
      <c r="H49" t="s">
        <v>57</v>
      </c>
      <c r="I49" t="s">
        <v>58</v>
      </c>
      <c r="J49">
        <v>5</v>
      </c>
      <c r="K49">
        <v>120000</v>
      </c>
      <c r="L49">
        <v>0</v>
      </c>
      <c r="M49">
        <v>600000</v>
      </c>
      <c r="N49">
        <v>3586256</v>
      </c>
      <c r="O49" t="s">
        <v>259</v>
      </c>
      <c r="P49" t="s">
        <v>262</v>
      </c>
      <c r="Q49">
        <v>3</v>
      </c>
      <c r="R49" t="s">
        <v>263</v>
      </c>
      <c r="S49" s="3">
        <v>600000</v>
      </c>
      <c r="T49" s="3">
        <v>3586256</v>
      </c>
    </row>
    <row r="50" spans="1:20" x14ac:dyDescent="0.2">
      <c r="A50" t="s">
        <v>111</v>
      </c>
      <c r="B50" s="2">
        <v>45683</v>
      </c>
      <c r="C50" t="s">
        <v>23</v>
      </c>
      <c r="D50" t="s">
        <v>24</v>
      </c>
      <c r="E50" t="s">
        <v>25</v>
      </c>
      <c r="F50" t="s">
        <v>26</v>
      </c>
      <c r="G50" t="s">
        <v>37</v>
      </c>
      <c r="H50" t="s">
        <v>38</v>
      </c>
      <c r="I50" t="s">
        <v>39</v>
      </c>
      <c r="J50">
        <v>8</v>
      </c>
      <c r="K50">
        <v>145000</v>
      </c>
      <c r="L50">
        <v>0</v>
      </c>
      <c r="M50">
        <v>1160000</v>
      </c>
      <c r="N50">
        <v>79099032</v>
      </c>
      <c r="O50" t="s">
        <v>256</v>
      </c>
      <c r="P50" t="s">
        <v>262</v>
      </c>
      <c r="Q50">
        <v>1</v>
      </c>
      <c r="R50" t="s">
        <v>271</v>
      </c>
      <c r="S50" s="3">
        <v>1160000</v>
      </c>
      <c r="T50" s="3">
        <v>79099032</v>
      </c>
    </row>
    <row r="51" spans="1:20" x14ac:dyDescent="0.2">
      <c r="A51" t="s">
        <v>112</v>
      </c>
      <c r="B51" s="2">
        <v>45683</v>
      </c>
      <c r="C51" t="s">
        <v>106</v>
      </c>
      <c r="D51" t="s">
        <v>107</v>
      </c>
      <c r="E51" t="s">
        <v>55</v>
      </c>
      <c r="F51" t="s">
        <v>30</v>
      </c>
      <c r="G51" t="s">
        <v>31</v>
      </c>
      <c r="H51" t="s">
        <v>32</v>
      </c>
      <c r="I51" t="s">
        <v>21</v>
      </c>
      <c r="J51">
        <v>2</v>
      </c>
      <c r="K51">
        <v>115000</v>
      </c>
      <c r="L51">
        <v>5</v>
      </c>
      <c r="M51">
        <v>2185000</v>
      </c>
      <c r="N51">
        <v>14140714</v>
      </c>
      <c r="O51" t="s">
        <v>256</v>
      </c>
      <c r="P51" t="s">
        <v>262</v>
      </c>
      <c r="Q51">
        <v>1</v>
      </c>
      <c r="R51" t="s">
        <v>271</v>
      </c>
      <c r="S51" s="3">
        <v>2185000</v>
      </c>
      <c r="T51" s="3">
        <v>14140714</v>
      </c>
    </row>
    <row r="52" spans="1:20" x14ac:dyDescent="0.2">
      <c r="A52" t="s">
        <v>113</v>
      </c>
      <c r="B52" s="2">
        <v>46369</v>
      </c>
      <c r="C52" t="s">
        <v>28</v>
      </c>
      <c r="D52" t="s">
        <v>29</v>
      </c>
      <c r="E52" t="s">
        <v>17</v>
      </c>
      <c r="F52" t="s">
        <v>49</v>
      </c>
      <c r="G52" t="s">
        <v>56</v>
      </c>
      <c r="H52" t="s">
        <v>57</v>
      </c>
      <c r="I52" t="s">
        <v>58</v>
      </c>
      <c r="J52">
        <v>8</v>
      </c>
      <c r="K52">
        <v>120000</v>
      </c>
      <c r="L52">
        <v>1</v>
      </c>
      <c r="M52">
        <v>8640000</v>
      </c>
      <c r="N52">
        <v>50053976</v>
      </c>
      <c r="O52" t="s">
        <v>259</v>
      </c>
      <c r="P52" t="s">
        <v>265</v>
      </c>
      <c r="Q52">
        <v>12</v>
      </c>
      <c r="R52" t="s">
        <v>273</v>
      </c>
      <c r="S52" s="3">
        <v>8640000</v>
      </c>
      <c r="T52" s="3">
        <v>50053976</v>
      </c>
    </row>
    <row r="53" spans="1:20" x14ac:dyDescent="0.2">
      <c r="A53" t="s">
        <v>114</v>
      </c>
      <c r="B53" s="2">
        <v>46166</v>
      </c>
      <c r="C53" t="s">
        <v>28</v>
      </c>
      <c r="D53" t="s">
        <v>29</v>
      </c>
      <c r="E53" t="s">
        <v>17</v>
      </c>
      <c r="F53" t="s">
        <v>30</v>
      </c>
      <c r="G53" t="s">
        <v>31</v>
      </c>
      <c r="H53" t="s">
        <v>32</v>
      </c>
      <c r="I53" t="s">
        <v>21</v>
      </c>
      <c r="J53">
        <v>1</v>
      </c>
      <c r="K53">
        <v>115000</v>
      </c>
      <c r="L53">
        <v>1</v>
      </c>
      <c r="M53">
        <v>1035000</v>
      </c>
      <c r="N53">
        <v>6526428</v>
      </c>
      <c r="O53" t="s">
        <v>259</v>
      </c>
      <c r="P53" t="s">
        <v>257</v>
      </c>
      <c r="Q53">
        <v>5</v>
      </c>
      <c r="R53" t="s">
        <v>269</v>
      </c>
      <c r="S53" s="3">
        <v>1035000</v>
      </c>
      <c r="T53" s="3">
        <v>6526428</v>
      </c>
    </row>
    <row r="54" spans="1:20" x14ac:dyDescent="0.2">
      <c r="A54" t="s">
        <v>115</v>
      </c>
      <c r="B54" s="2">
        <v>46162</v>
      </c>
      <c r="C54" t="s">
        <v>106</v>
      </c>
      <c r="D54" t="s">
        <v>107</v>
      </c>
      <c r="E54" t="s">
        <v>55</v>
      </c>
      <c r="F54" t="s">
        <v>26</v>
      </c>
      <c r="G54" t="s">
        <v>41</v>
      </c>
      <c r="H54" t="s">
        <v>42</v>
      </c>
      <c r="I54" t="s">
        <v>43</v>
      </c>
      <c r="J54">
        <v>2</v>
      </c>
      <c r="K54">
        <v>175000</v>
      </c>
      <c r="L54">
        <v>15</v>
      </c>
      <c r="M54">
        <v>2975000</v>
      </c>
      <c r="N54">
        <v>22305458</v>
      </c>
      <c r="O54" t="s">
        <v>259</v>
      </c>
      <c r="P54" t="s">
        <v>257</v>
      </c>
      <c r="Q54">
        <v>5</v>
      </c>
      <c r="R54" t="s">
        <v>269</v>
      </c>
      <c r="S54" s="3">
        <v>2975000</v>
      </c>
      <c r="T54" s="3">
        <v>22305458</v>
      </c>
    </row>
    <row r="55" spans="1:20" x14ac:dyDescent="0.2">
      <c r="A55" t="s">
        <v>116</v>
      </c>
      <c r="B55" s="2">
        <v>45775</v>
      </c>
      <c r="C55" t="s">
        <v>15</v>
      </c>
      <c r="D55" t="s">
        <v>16</v>
      </c>
      <c r="E55" t="s">
        <v>17</v>
      </c>
      <c r="F55" t="s">
        <v>26</v>
      </c>
      <c r="G55" t="s">
        <v>56</v>
      </c>
      <c r="H55" t="s">
        <v>57</v>
      </c>
      <c r="I55" t="s">
        <v>58</v>
      </c>
      <c r="J55">
        <v>6</v>
      </c>
      <c r="K55">
        <v>120000</v>
      </c>
      <c r="L55">
        <v>0</v>
      </c>
      <c r="M55">
        <v>720000</v>
      </c>
      <c r="N55">
        <v>5063679</v>
      </c>
      <c r="O55" t="s">
        <v>256</v>
      </c>
      <c r="P55" t="s">
        <v>257</v>
      </c>
      <c r="Q55">
        <v>4</v>
      </c>
      <c r="R55" t="s">
        <v>258</v>
      </c>
      <c r="S55" s="3">
        <v>720000</v>
      </c>
      <c r="T55" s="3">
        <v>5063679</v>
      </c>
    </row>
    <row r="56" spans="1:20" x14ac:dyDescent="0.2">
      <c r="A56" t="s">
        <v>117</v>
      </c>
      <c r="B56" s="2">
        <v>46069</v>
      </c>
      <c r="C56" t="s">
        <v>65</v>
      </c>
      <c r="D56" t="s">
        <v>66</v>
      </c>
      <c r="E56" t="s">
        <v>17</v>
      </c>
      <c r="F56" t="s">
        <v>18</v>
      </c>
      <c r="G56" t="s">
        <v>45</v>
      </c>
      <c r="H56" t="s">
        <v>46</v>
      </c>
      <c r="I56" t="s">
        <v>47</v>
      </c>
      <c r="J56">
        <v>4</v>
      </c>
      <c r="K56">
        <v>850000</v>
      </c>
      <c r="L56">
        <v>5</v>
      </c>
      <c r="M56">
        <v>32300000</v>
      </c>
      <c r="N56">
        <v>17824670</v>
      </c>
      <c r="O56" t="s">
        <v>259</v>
      </c>
      <c r="P56" t="s">
        <v>262</v>
      </c>
      <c r="Q56">
        <v>2</v>
      </c>
      <c r="R56" t="s">
        <v>268</v>
      </c>
      <c r="S56" s="3">
        <v>32300000</v>
      </c>
      <c r="T56" s="3">
        <v>17824670</v>
      </c>
    </row>
    <row r="57" spans="1:20" x14ac:dyDescent="0.2">
      <c r="A57" t="s">
        <v>118</v>
      </c>
      <c r="B57" s="2">
        <v>46059</v>
      </c>
      <c r="C57" t="s">
        <v>85</v>
      </c>
      <c r="D57" t="s">
        <v>86</v>
      </c>
      <c r="E57" t="s">
        <v>25</v>
      </c>
      <c r="F57" t="s">
        <v>18</v>
      </c>
      <c r="G57" t="s">
        <v>71</v>
      </c>
      <c r="H57" t="s">
        <v>72</v>
      </c>
      <c r="I57" t="s">
        <v>39</v>
      </c>
      <c r="J57">
        <v>5</v>
      </c>
      <c r="K57">
        <v>98000</v>
      </c>
      <c r="L57">
        <v>15</v>
      </c>
      <c r="M57">
        <v>4165000</v>
      </c>
      <c r="N57">
        <v>36553675</v>
      </c>
      <c r="O57" t="s">
        <v>259</v>
      </c>
      <c r="P57" t="s">
        <v>262</v>
      </c>
      <c r="Q57">
        <v>2</v>
      </c>
      <c r="R57" t="s">
        <v>268</v>
      </c>
      <c r="S57" s="3">
        <v>4165000</v>
      </c>
      <c r="T57" s="3">
        <v>36553675</v>
      </c>
    </row>
    <row r="58" spans="1:20" x14ac:dyDescent="0.2">
      <c r="A58" t="s">
        <v>119</v>
      </c>
      <c r="B58" s="2">
        <v>46132</v>
      </c>
      <c r="C58" t="s">
        <v>85</v>
      </c>
      <c r="D58" t="s">
        <v>86</v>
      </c>
      <c r="E58" t="s">
        <v>25</v>
      </c>
      <c r="F58" t="s">
        <v>18</v>
      </c>
      <c r="G58" t="s">
        <v>71</v>
      </c>
      <c r="H58" t="s">
        <v>72</v>
      </c>
      <c r="I58" t="s">
        <v>39</v>
      </c>
      <c r="J58">
        <v>6</v>
      </c>
      <c r="K58">
        <v>98000</v>
      </c>
      <c r="L58">
        <v>15</v>
      </c>
      <c r="M58">
        <v>4998000</v>
      </c>
      <c r="N58">
        <v>34906038</v>
      </c>
      <c r="O58" t="s">
        <v>259</v>
      </c>
      <c r="P58" t="s">
        <v>257</v>
      </c>
      <c r="Q58">
        <v>4</v>
      </c>
      <c r="R58" t="s">
        <v>258</v>
      </c>
      <c r="S58" s="3">
        <v>4998000</v>
      </c>
      <c r="T58" s="3">
        <v>34906038</v>
      </c>
    </row>
    <row r="59" spans="1:20" x14ac:dyDescent="0.2">
      <c r="A59" t="s">
        <v>120</v>
      </c>
      <c r="B59" s="2">
        <v>45751</v>
      </c>
      <c r="C59" t="s">
        <v>85</v>
      </c>
      <c r="D59" t="s">
        <v>86</v>
      </c>
      <c r="E59" t="s">
        <v>25</v>
      </c>
      <c r="F59" t="s">
        <v>18</v>
      </c>
      <c r="G59" t="s">
        <v>56</v>
      </c>
      <c r="H59" t="s">
        <v>57</v>
      </c>
      <c r="I59" t="s">
        <v>58</v>
      </c>
      <c r="J59">
        <v>1</v>
      </c>
      <c r="K59">
        <v>120000</v>
      </c>
      <c r="L59">
        <v>15</v>
      </c>
      <c r="M59">
        <v>1020000</v>
      </c>
      <c r="N59">
        <v>6934162</v>
      </c>
      <c r="O59" t="s">
        <v>256</v>
      </c>
      <c r="P59" t="s">
        <v>257</v>
      </c>
      <c r="Q59">
        <v>4</v>
      </c>
      <c r="R59" t="s">
        <v>258</v>
      </c>
      <c r="S59" s="3">
        <v>1020000</v>
      </c>
      <c r="T59" s="3">
        <v>6934162</v>
      </c>
    </row>
    <row r="60" spans="1:20" x14ac:dyDescent="0.2">
      <c r="A60" t="s">
        <v>121</v>
      </c>
      <c r="B60" s="2">
        <v>46351</v>
      </c>
      <c r="C60" t="s">
        <v>34</v>
      </c>
      <c r="D60" t="s">
        <v>35</v>
      </c>
      <c r="E60" t="s">
        <v>25</v>
      </c>
      <c r="F60" t="s">
        <v>18</v>
      </c>
      <c r="G60" t="s">
        <v>41</v>
      </c>
      <c r="H60" t="s">
        <v>42</v>
      </c>
      <c r="I60" t="s">
        <v>43</v>
      </c>
      <c r="J60">
        <v>5</v>
      </c>
      <c r="K60">
        <v>175000</v>
      </c>
      <c r="L60">
        <v>1</v>
      </c>
      <c r="M60">
        <v>7875000</v>
      </c>
      <c r="N60">
        <v>59544425</v>
      </c>
      <c r="O60" t="s">
        <v>259</v>
      </c>
      <c r="P60" t="s">
        <v>265</v>
      </c>
      <c r="Q60">
        <v>11</v>
      </c>
      <c r="R60" t="s">
        <v>266</v>
      </c>
      <c r="S60" s="3">
        <v>7875000</v>
      </c>
      <c r="T60" s="3">
        <v>59544425</v>
      </c>
    </row>
    <row r="61" spans="1:20" x14ac:dyDescent="0.2">
      <c r="A61" t="s">
        <v>122</v>
      </c>
      <c r="B61" s="2">
        <v>45941</v>
      </c>
      <c r="C61" t="s">
        <v>53</v>
      </c>
      <c r="D61" t="s">
        <v>54</v>
      </c>
      <c r="E61" t="s">
        <v>55</v>
      </c>
      <c r="F61" t="s">
        <v>30</v>
      </c>
      <c r="G61" t="s">
        <v>45</v>
      </c>
      <c r="H61" t="s">
        <v>46</v>
      </c>
      <c r="I61" t="s">
        <v>47</v>
      </c>
      <c r="J61">
        <v>6</v>
      </c>
      <c r="K61">
        <v>850000</v>
      </c>
      <c r="L61">
        <v>15</v>
      </c>
      <c r="M61">
        <v>43350000</v>
      </c>
      <c r="N61">
        <v>269347854</v>
      </c>
      <c r="O61" t="s">
        <v>256</v>
      </c>
      <c r="P61" t="s">
        <v>265</v>
      </c>
      <c r="Q61">
        <v>10</v>
      </c>
      <c r="R61" t="s">
        <v>272</v>
      </c>
      <c r="S61" s="3">
        <v>43350000</v>
      </c>
      <c r="T61" s="3">
        <v>269347854</v>
      </c>
    </row>
    <row r="62" spans="1:20" x14ac:dyDescent="0.2">
      <c r="A62" t="s">
        <v>123</v>
      </c>
      <c r="B62" s="2">
        <v>46358</v>
      </c>
      <c r="C62" t="s">
        <v>34</v>
      </c>
      <c r="D62" t="s">
        <v>35</v>
      </c>
      <c r="E62" t="s">
        <v>25</v>
      </c>
      <c r="F62" t="s">
        <v>18</v>
      </c>
      <c r="G62" t="s">
        <v>71</v>
      </c>
      <c r="H62" t="s">
        <v>72</v>
      </c>
      <c r="I62" t="s">
        <v>39</v>
      </c>
      <c r="J62">
        <v>1</v>
      </c>
      <c r="K62">
        <v>98000</v>
      </c>
      <c r="L62">
        <v>1</v>
      </c>
      <c r="M62">
        <v>882000</v>
      </c>
      <c r="N62">
        <v>6648659</v>
      </c>
      <c r="O62" t="s">
        <v>259</v>
      </c>
      <c r="P62" t="s">
        <v>265</v>
      </c>
      <c r="Q62">
        <v>12</v>
      </c>
      <c r="R62" t="s">
        <v>273</v>
      </c>
      <c r="S62" s="3">
        <v>882000</v>
      </c>
      <c r="T62" s="3">
        <v>6648659</v>
      </c>
    </row>
    <row r="63" spans="1:20" x14ac:dyDescent="0.2">
      <c r="A63" t="s">
        <v>124</v>
      </c>
      <c r="B63" s="2">
        <v>46302</v>
      </c>
      <c r="C63" t="s">
        <v>106</v>
      </c>
      <c r="D63" t="s">
        <v>107</v>
      </c>
      <c r="E63" t="s">
        <v>55</v>
      </c>
      <c r="F63" t="s">
        <v>49</v>
      </c>
      <c r="G63" t="s">
        <v>19</v>
      </c>
      <c r="H63" t="s">
        <v>20</v>
      </c>
      <c r="I63" t="s">
        <v>21</v>
      </c>
      <c r="J63">
        <v>6</v>
      </c>
      <c r="K63">
        <v>45000</v>
      </c>
      <c r="L63">
        <v>5</v>
      </c>
      <c r="M63">
        <v>2565000</v>
      </c>
      <c r="N63">
        <v>16399332</v>
      </c>
      <c r="O63" t="s">
        <v>259</v>
      </c>
      <c r="P63" t="s">
        <v>265</v>
      </c>
      <c r="Q63">
        <v>10</v>
      </c>
      <c r="R63" t="s">
        <v>272</v>
      </c>
      <c r="S63" s="3">
        <v>2565000</v>
      </c>
      <c r="T63" s="3">
        <v>16399332</v>
      </c>
    </row>
    <row r="64" spans="1:20" x14ac:dyDescent="0.2">
      <c r="A64" t="s">
        <v>125</v>
      </c>
      <c r="B64" s="2">
        <v>46109</v>
      </c>
      <c r="C64" t="s">
        <v>65</v>
      </c>
      <c r="D64" t="s">
        <v>66</v>
      </c>
      <c r="E64" t="s">
        <v>17</v>
      </c>
      <c r="F64" t="s">
        <v>49</v>
      </c>
      <c r="G64" t="s">
        <v>41</v>
      </c>
      <c r="H64" t="s">
        <v>42</v>
      </c>
      <c r="I64" t="s">
        <v>43</v>
      </c>
      <c r="J64">
        <v>6</v>
      </c>
      <c r="K64">
        <v>175000</v>
      </c>
      <c r="L64">
        <v>15</v>
      </c>
      <c r="M64">
        <v>8925000</v>
      </c>
      <c r="N64">
        <v>80996496</v>
      </c>
      <c r="O64" t="s">
        <v>259</v>
      </c>
      <c r="P64" t="s">
        <v>262</v>
      </c>
      <c r="Q64">
        <v>3</v>
      </c>
      <c r="R64" t="s">
        <v>263</v>
      </c>
      <c r="S64" s="3">
        <v>8925000</v>
      </c>
      <c r="T64" s="3">
        <v>80996496</v>
      </c>
    </row>
    <row r="65" spans="1:20" x14ac:dyDescent="0.2">
      <c r="A65" t="s">
        <v>126</v>
      </c>
      <c r="B65" s="2">
        <v>46111</v>
      </c>
      <c r="C65" t="s">
        <v>34</v>
      </c>
      <c r="D65" t="s">
        <v>35</v>
      </c>
      <c r="E65" t="s">
        <v>25</v>
      </c>
      <c r="F65" t="s">
        <v>26</v>
      </c>
      <c r="G65" t="s">
        <v>31</v>
      </c>
      <c r="H65" t="s">
        <v>32</v>
      </c>
      <c r="I65" t="s">
        <v>21</v>
      </c>
      <c r="J65">
        <v>2</v>
      </c>
      <c r="K65">
        <v>115000</v>
      </c>
      <c r="L65">
        <v>5</v>
      </c>
      <c r="M65">
        <v>2185000</v>
      </c>
      <c r="N65">
        <v>1261782</v>
      </c>
      <c r="O65" t="s">
        <v>259</v>
      </c>
      <c r="P65" t="s">
        <v>262</v>
      </c>
      <c r="Q65">
        <v>3</v>
      </c>
      <c r="R65" t="s">
        <v>263</v>
      </c>
      <c r="S65" s="3">
        <v>2185000</v>
      </c>
      <c r="T65" s="3">
        <v>1261782</v>
      </c>
    </row>
    <row r="66" spans="1:20" x14ac:dyDescent="0.2">
      <c r="A66" t="s">
        <v>127</v>
      </c>
      <c r="B66" s="2">
        <v>46379</v>
      </c>
      <c r="C66" t="s">
        <v>106</v>
      </c>
      <c r="D66" t="s">
        <v>107</v>
      </c>
      <c r="E66" t="s">
        <v>55</v>
      </c>
      <c r="F66" t="s">
        <v>36</v>
      </c>
      <c r="G66" t="s">
        <v>56</v>
      </c>
      <c r="H66" t="s">
        <v>57</v>
      </c>
      <c r="I66" t="s">
        <v>58</v>
      </c>
      <c r="J66">
        <v>3</v>
      </c>
      <c r="K66">
        <v>120000</v>
      </c>
      <c r="L66">
        <v>1</v>
      </c>
      <c r="M66">
        <v>3240000</v>
      </c>
      <c r="N66">
        <v>20084292</v>
      </c>
      <c r="O66" t="s">
        <v>259</v>
      </c>
      <c r="P66" t="s">
        <v>265</v>
      </c>
      <c r="Q66">
        <v>12</v>
      </c>
      <c r="R66" t="s">
        <v>273</v>
      </c>
      <c r="S66" s="3">
        <v>3240000</v>
      </c>
      <c r="T66" s="3">
        <v>20084292</v>
      </c>
    </row>
    <row r="67" spans="1:20" x14ac:dyDescent="0.2">
      <c r="A67" t="s">
        <v>128</v>
      </c>
      <c r="B67" s="2">
        <v>45780</v>
      </c>
      <c r="C67" t="s">
        <v>60</v>
      </c>
      <c r="D67" t="s">
        <v>61</v>
      </c>
      <c r="E67" t="s">
        <v>17</v>
      </c>
      <c r="F67" t="s">
        <v>30</v>
      </c>
      <c r="G67" t="s">
        <v>56</v>
      </c>
      <c r="H67" t="s">
        <v>57</v>
      </c>
      <c r="I67" t="s">
        <v>58</v>
      </c>
      <c r="J67">
        <v>8</v>
      </c>
      <c r="K67">
        <v>120000</v>
      </c>
      <c r="L67">
        <v>15</v>
      </c>
      <c r="M67">
        <v>8160000</v>
      </c>
      <c r="N67">
        <v>5210460</v>
      </c>
      <c r="O67" t="s">
        <v>256</v>
      </c>
      <c r="P67" t="s">
        <v>257</v>
      </c>
      <c r="Q67">
        <v>5</v>
      </c>
      <c r="R67" t="s">
        <v>269</v>
      </c>
      <c r="S67" s="3">
        <v>8160000</v>
      </c>
      <c r="T67" s="3">
        <v>5210460</v>
      </c>
    </row>
    <row r="68" spans="1:20" x14ac:dyDescent="0.2">
      <c r="A68" t="s">
        <v>129</v>
      </c>
      <c r="B68" s="2">
        <v>45997</v>
      </c>
      <c r="C68" t="s">
        <v>68</v>
      </c>
      <c r="D68" t="s">
        <v>69</v>
      </c>
      <c r="E68" t="s">
        <v>25</v>
      </c>
      <c r="F68" t="s">
        <v>36</v>
      </c>
      <c r="G68" t="s">
        <v>31</v>
      </c>
      <c r="H68" t="s">
        <v>32</v>
      </c>
      <c r="I68" t="s">
        <v>21</v>
      </c>
      <c r="J68">
        <v>3</v>
      </c>
      <c r="K68">
        <v>115000</v>
      </c>
      <c r="L68">
        <v>1</v>
      </c>
      <c r="M68">
        <v>3105000</v>
      </c>
      <c r="N68">
        <v>20323341</v>
      </c>
      <c r="O68" t="s">
        <v>256</v>
      </c>
      <c r="P68" t="s">
        <v>265</v>
      </c>
      <c r="Q68">
        <v>12</v>
      </c>
      <c r="R68" t="s">
        <v>273</v>
      </c>
      <c r="S68" s="3">
        <v>3105000</v>
      </c>
      <c r="T68" s="3">
        <v>20323341</v>
      </c>
    </row>
    <row r="69" spans="1:20" x14ac:dyDescent="0.2">
      <c r="A69" t="s">
        <v>130</v>
      </c>
      <c r="B69" s="2">
        <v>46064</v>
      </c>
      <c r="C69" t="s">
        <v>23</v>
      </c>
      <c r="D69" t="s">
        <v>24</v>
      </c>
      <c r="E69" t="s">
        <v>25</v>
      </c>
      <c r="F69" t="s">
        <v>30</v>
      </c>
      <c r="G69" t="s">
        <v>37</v>
      </c>
      <c r="H69" t="s">
        <v>38</v>
      </c>
      <c r="I69" t="s">
        <v>39</v>
      </c>
      <c r="J69">
        <v>2</v>
      </c>
      <c r="K69">
        <v>145000</v>
      </c>
      <c r="L69">
        <v>1</v>
      </c>
      <c r="M69">
        <v>2610000</v>
      </c>
      <c r="N69">
        <v>21719576</v>
      </c>
      <c r="O69" t="s">
        <v>259</v>
      </c>
      <c r="P69" t="s">
        <v>262</v>
      </c>
      <c r="Q69">
        <v>2</v>
      </c>
      <c r="R69" t="s">
        <v>268</v>
      </c>
      <c r="S69" s="3">
        <v>2610000</v>
      </c>
      <c r="T69" s="3">
        <v>21719576</v>
      </c>
    </row>
    <row r="70" spans="1:20" x14ac:dyDescent="0.2">
      <c r="A70" t="s">
        <v>131</v>
      </c>
      <c r="B70" s="2">
        <v>45788</v>
      </c>
      <c r="C70" t="s">
        <v>28</v>
      </c>
      <c r="D70" t="s">
        <v>29</v>
      </c>
      <c r="E70" t="s">
        <v>17</v>
      </c>
      <c r="F70" t="s">
        <v>26</v>
      </c>
      <c r="G70" t="s">
        <v>37</v>
      </c>
      <c r="H70" t="s">
        <v>38</v>
      </c>
      <c r="I70" t="s">
        <v>39</v>
      </c>
      <c r="J70">
        <v>3</v>
      </c>
      <c r="K70">
        <v>145000</v>
      </c>
      <c r="L70">
        <v>15</v>
      </c>
      <c r="M70">
        <v>3697500</v>
      </c>
      <c r="N70">
        <v>2659914</v>
      </c>
      <c r="O70" t="s">
        <v>256</v>
      </c>
      <c r="P70" t="s">
        <v>257</v>
      </c>
      <c r="Q70">
        <v>5</v>
      </c>
      <c r="R70" t="s">
        <v>269</v>
      </c>
      <c r="S70" s="3">
        <v>3697500</v>
      </c>
      <c r="T70" s="3">
        <v>2659914</v>
      </c>
    </row>
    <row r="71" spans="1:20" x14ac:dyDescent="0.2">
      <c r="A71" t="s">
        <v>132</v>
      </c>
      <c r="B71" s="2">
        <v>46339</v>
      </c>
      <c r="C71" t="s">
        <v>106</v>
      </c>
      <c r="D71" t="s">
        <v>107</v>
      </c>
      <c r="E71" t="s">
        <v>55</v>
      </c>
      <c r="F71" t="s">
        <v>18</v>
      </c>
      <c r="G71" t="s">
        <v>45</v>
      </c>
      <c r="H71" t="s">
        <v>46</v>
      </c>
      <c r="I71" t="s">
        <v>47</v>
      </c>
      <c r="J71">
        <v>5</v>
      </c>
      <c r="K71">
        <v>850000</v>
      </c>
      <c r="L71">
        <v>15</v>
      </c>
      <c r="M71">
        <v>36125000</v>
      </c>
      <c r="N71">
        <v>240910565</v>
      </c>
      <c r="O71" t="s">
        <v>259</v>
      </c>
      <c r="P71" t="s">
        <v>265</v>
      </c>
      <c r="Q71">
        <v>11</v>
      </c>
      <c r="R71" t="s">
        <v>266</v>
      </c>
      <c r="S71" s="3">
        <v>36125000</v>
      </c>
      <c r="T71" s="3">
        <v>240910565</v>
      </c>
    </row>
    <row r="72" spans="1:20" x14ac:dyDescent="0.2">
      <c r="A72" t="s">
        <v>133</v>
      </c>
      <c r="B72" s="2">
        <v>45995</v>
      </c>
      <c r="C72" t="s">
        <v>106</v>
      </c>
      <c r="D72" t="s">
        <v>107</v>
      </c>
      <c r="E72" t="s">
        <v>55</v>
      </c>
      <c r="F72" t="s">
        <v>36</v>
      </c>
      <c r="G72" t="s">
        <v>50</v>
      </c>
      <c r="H72" t="s">
        <v>51</v>
      </c>
      <c r="I72" t="s">
        <v>21</v>
      </c>
      <c r="J72">
        <v>3</v>
      </c>
      <c r="K72">
        <v>320000</v>
      </c>
      <c r="L72">
        <v>15</v>
      </c>
      <c r="M72">
        <v>8160000</v>
      </c>
      <c r="N72">
        <v>71880369</v>
      </c>
      <c r="O72" t="s">
        <v>256</v>
      </c>
      <c r="P72" t="s">
        <v>265</v>
      </c>
      <c r="Q72">
        <v>12</v>
      </c>
      <c r="R72" t="s">
        <v>273</v>
      </c>
      <c r="S72" s="3">
        <v>8160000</v>
      </c>
      <c r="T72" s="3">
        <v>71880369</v>
      </c>
    </row>
    <row r="73" spans="1:20" x14ac:dyDescent="0.2">
      <c r="A73" t="s">
        <v>134</v>
      </c>
      <c r="B73" s="2">
        <v>45861</v>
      </c>
      <c r="C73" t="s">
        <v>60</v>
      </c>
      <c r="D73" t="s">
        <v>61</v>
      </c>
      <c r="E73" t="s">
        <v>17</v>
      </c>
      <c r="F73" t="s">
        <v>18</v>
      </c>
      <c r="G73" t="s">
        <v>41</v>
      </c>
      <c r="H73" t="s">
        <v>42</v>
      </c>
      <c r="I73" t="s">
        <v>43</v>
      </c>
      <c r="J73">
        <v>3</v>
      </c>
      <c r="K73">
        <v>175000</v>
      </c>
      <c r="L73">
        <v>5</v>
      </c>
      <c r="M73">
        <v>4987500</v>
      </c>
      <c r="N73">
        <v>34210806</v>
      </c>
      <c r="O73" t="s">
        <v>256</v>
      </c>
      <c r="P73" t="s">
        <v>260</v>
      </c>
      <c r="Q73">
        <v>7</v>
      </c>
      <c r="R73" t="s">
        <v>264</v>
      </c>
      <c r="S73" s="3">
        <v>4987500</v>
      </c>
      <c r="T73" s="3">
        <v>34210806</v>
      </c>
    </row>
    <row r="74" spans="1:20" x14ac:dyDescent="0.2">
      <c r="A74" t="s">
        <v>135</v>
      </c>
      <c r="B74" s="2">
        <v>46364</v>
      </c>
      <c r="C74" t="s">
        <v>65</v>
      </c>
      <c r="D74" t="s">
        <v>66</v>
      </c>
      <c r="E74" t="s">
        <v>17</v>
      </c>
      <c r="F74" t="s">
        <v>26</v>
      </c>
      <c r="G74" t="s">
        <v>19</v>
      </c>
      <c r="H74" t="s">
        <v>20</v>
      </c>
      <c r="I74" t="s">
        <v>21</v>
      </c>
      <c r="J74">
        <v>8</v>
      </c>
      <c r="K74">
        <v>45000</v>
      </c>
      <c r="L74">
        <v>5</v>
      </c>
      <c r="M74">
        <v>3420000</v>
      </c>
      <c r="N74">
        <v>18720336</v>
      </c>
      <c r="O74" t="s">
        <v>259</v>
      </c>
      <c r="P74" t="s">
        <v>265</v>
      </c>
      <c r="Q74">
        <v>12</v>
      </c>
      <c r="R74" t="s">
        <v>273</v>
      </c>
      <c r="S74" s="3">
        <v>3420000</v>
      </c>
      <c r="T74" s="3">
        <v>18720336</v>
      </c>
    </row>
    <row r="75" spans="1:20" x14ac:dyDescent="0.2">
      <c r="A75" t="s">
        <v>136</v>
      </c>
      <c r="B75" s="2">
        <v>45982</v>
      </c>
      <c r="C75" t="s">
        <v>85</v>
      </c>
      <c r="D75" t="s">
        <v>86</v>
      </c>
      <c r="E75" t="s">
        <v>25</v>
      </c>
      <c r="F75" t="s">
        <v>18</v>
      </c>
      <c r="G75" t="s">
        <v>71</v>
      </c>
      <c r="H75" t="s">
        <v>72</v>
      </c>
      <c r="I75" t="s">
        <v>39</v>
      </c>
      <c r="J75">
        <v>4</v>
      </c>
      <c r="K75">
        <v>98000</v>
      </c>
      <c r="L75">
        <v>5</v>
      </c>
      <c r="M75">
        <v>3724000</v>
      </c>
      <c r="N75">
        <v>2337566</v>
      </c>
      <c r="O75" t="s">
        <v>256</v>
      </c>
      <c r="P75" t="s">
        <v>265</v>
      </c>
      <c r="Q75">
        <v>11</v>
      </c>
      <c r="R75" t="s">
        <v>266</v>
      </c>
      <c r="S75" s="3">
        <v>3724000</v>
      </c>
      <c r="T75" s="3">
        <v>2337566</v>
      </c>
    </row>
    <row r="76" spans="1:20" x14ac:dyDescent="0.2">
      <c r="A76" t="s">
        <v>137</v>
      </c>
      <c r="B76" s="2">
        <v>46064</v>
      </c>
      <c r="C76" t="s">
        <v>85</v>
      </c>
      <c r="D76" t="s">
        <v>86</v>
      </c>
      <c r="E76" t="s">
        <v>25</v>
      </c>
      <c r="F76" t="s">
        <v>36</v>
      </c>
      <c r="G76" t="s">
        <v>56</v>
      </c>
      <c r="H76" t="s">
        <v>57</v>
      </c>
      <c r="I76" t="s">
        <v>58</v>
      </c>
      <c r="J76">
        <v>8</v>
      </c>
      <c r="K76">
        <v>120000</v>
      </c>
      <c r="L76">
        <v>5</v>
      </c>
      <c r="M76">
        <v>9120000</v>
      </c>
      <c r="N76">
        <v>65434984</v>
      </c>
      <c r="O76" t="s">
        <v>259</v>
      </c>
      <c r="P76" t="s">
        <v>262</v>
      </c>
      <c r="Q76">
        <v>2</v>
      </c>
      <c r="R76" t="s">
        <v>268</v>
      </c>
      <c r="S76" s="3">
        <v>9120000</v>
      </c>
      <c r="T76" s="3">
        <v>65434984</v>
      </c>
    </row>
    <row r="77" spans="1:20" x14ac:dyDescent="0.2">
      <c r="A77" t="s">
        <v>138</v>
      </c>
      <c r="B77" s="2">
        <v>45736</v>
      </c>
      <c r="C77" t="s">
        <v>53</v>
      </c>
      <c r="D77" t="s">
        <v>54</v>
      </c>
      <c r="E77" t="s">
        <v>55</v>
      </c>
      <c r="F77" t="s">
        <v>26</v>
      </c>
      <c r="G77" t="s">
        <v>41</v>
      </c>
      <c r="H77" t="s">
        <v>42</v>
      </c>
      <c r="I77" t="s">
        <v>43</v>
      </c>
      <c r="J77">
        <v>6</v>
      </c>
      <c r="K77">
        <v>175000</v>
      </c>
      <c r="L77">
        <v>5</v>
      </c>
      <c r="M77">
        <v>9975000</v>
      </c>
      <c r="N77">
        <v>6243690</v>
      </c>
      <c r="O77" t="s">
        <v>256</v>
      </c>
      <c r="P77" t="s">
        <v>262</v>
      </c>
      <c r="Q77">
        <v>3</v>
      </c>
      <c r="R77" t="s">
        <v>263</v>
      </c>
      <c r="S77" s="3">
        <v>9975000</v>
      </c>
      <c r="T77" s="3">
        <v>6243690</v>
      </c>
    </row>
    <row r="78" spans="1:20" x14ac:dyDescent="0.2">
      <c r="A78" t="s">
        <v>139</v>
      </c>
      <c r="B78" s="2">
        <v>46326</v>
      </c>
      <c r="C78" t="s">
        <v>85</v>
      </c>
      <c r="D78" t="s">
        <v>86</v>
      </c>
      <c r="E78" t="s">
        <v>25</v>
      </c>
      <c r="F78" t="s">
        <v>18</v>
      </c>
      <c r="G78" t="s">
        <v>31</v>
      </c>
      <c r="H78" t="s">
        <v>32</v>
      </c>
      <c r="I78" t="s">
        <v>21</v>
      </c>
      <c r="J78">
        <v>8</v>
      </c>
      <c r="K78">
        <v>115000</v>
      </c>
      <c r="L78">
        <v>15</v>
      </c>
      <c r="M78">
        <v>7820000</v>
      </c>
      <c r="N78">
        <v>71292568</v>
      </c>
      <c r="O78" t="s">
        <v>259</v>
      </c>
      <c r="P78" t="s">
        <v>265</v>
      </c>
      <c r="Q78">
        <v>10</v>
      </c>
      <c r="R78" t="s">
        <v>272</v>
      </c>
      <c r="S78" s="3">
        <v>7820000</v>
      </c>
      <c r="T78" s="3">
        <v>71292568</v>
      </c>
    </row>
    <row r="79" spans="1:20" x14ac:dyDescent="0.2">
      <c r="A79" t="s">
        <v>140</v>
      </c>
      <c r="B79" s="2">
        <v>45794</v>
      </c>
      <c r="C79" t="s">
        <v>85</v>
      </c>
      <c r="D79" t="s">
        <v>86</v>
      </c>
      <c r="E79" t="s">
        <v>25</v>
      </c>
      <c r="F79" t="s">
        <v>26</v>
      </c>
      <c r="G79" t="s">
        <v>37</v>
      </c>
      <c r="H79" t="s">
        <v>38</v>
      </c>
      <c r="I79" t="s">
        <v>39</v>
      </c>
      <c r="J79">
        <v>4</v>
      </c>
      <c r="K79">
        <v>145000</v>
      </c>
      <c r="L79">
        <v>1</v>
      </c>
      <c r="M79">
        <v>5220000</v>
      </c>
      <c r="N79">
        <v>41817316</v>
      </c>
      <c r="O79" t="s">
        <v>256</v>
      </c>
      <c r="P79" t="s">
        <v>257</v>
      </c>
      <c r="Q79">
        <v>5</v>
      </c>
      <c r="R79" t="s">
        <v>269</v>
      </c>
      <c r="S79" s="3">
        <v>5220000</v>
      </c>
      <c r="T79" s="3">
        <v>41817316</v>
      </c>
    </row>
    <row r="80" spans="1:20" x14ac:dyDescent="0.2">
      <c r="A80" t="s">
        <v>141</v>
      </c>
      <c r="B80" s="2">
        <v>46387</v>
      </c>
      <c r="C80" t="s">
        <v>65</v>
      </c>
      <c r="D80" t="s">
        <v>66</v>
      </c>
      <c r="E80" t="s">
        <v>17</v>
      </c>
      <c r="F80" t="s">
        <v>30</v>
      </c>
      <c r="G80" t="s">
        <v>50</v>
      </c>
      <c r="H80" t="s">
        <v>51</v>
      </c>
      <c r="I80" t="s">
        <v>21</v>
      </c>
      <c r="J80">
        <v>2</v>
      </c>
      <c r="K80">
        <v>320000</v>
      </c>
      <c r="L80">
        <v>1</v>
      </c>
      <c r="M80">
        <v>5760000</v>
      </c>
      <c r="N80">
        <v>36590598</v>
      </c>
      <c r="O80" t="s">
        <v>259</v>
      </c>
      <c r="P80" t="s">
        <v>265</v>
      </c>
      <c r="Q80">
        <v>12</v>
      </c>
      <c r="R80" t="s">
        <v>273</v>
      </c>
      <c r="S80" s="3">
        <v>5760000</v>
      </c>
      <c r="T80" s="3">
        <v>36590598</v>
      </c>
    </row>
    <row r="81" spans="1:20" x14ac:dyDescent="0.2">
      <c r="A81" t="s">
        <v>142</v>
      </c>
      <c r="B81" s="2">
        <v>45760</v>
      </c>
      <c r="C81" t="s">
        <v>65</v>
      </c>
      <c r="D81" t="s">
        <v>66</v>
      </c>
      <c r="E81" t="s">
        <v>17</v>
      </c>
      <c r="F81" t="s">
        <v>49</v>
      </c>
      <c r="G81" t="s">
        <v>56</v>
      </c>
      <c r="H81" t="s">
        <v>57</v>
      </c>
      <c r="I81" t="s">
        <v>58</v>
      </c>
      <c r="J81">
        <v>4</v>
      </c>
      <c r="K81">
        <v>120000</v>
      </c>
      <c r="L81">
        <v>1</v>
      </c>
      <c r="M81">
        <v>4320000</v>
      </c>
      <c r="N81">
        <v>35878472</v>
      </c>
      <c r="O81" t="s">
        <v>256</v>
      </c>
      <c r="P81" t="s">
        <v>257</v>
      </c>
      <c r="Q81">
        <v>4</v>
      </c>
      <c r="R81" t="s">
        <v>258</v>
      </c>
      <c r="S81" s="3">
        <v>4320000</v>
      </c>
      <c r="T81" s="3">
        <v>35878472</v>
      </c>
    </row>
    <row r="82" spans="1:20" x14ac:dyDescent="0.2">
      <c r="A82" t="s">
        <v>143</v>
      </c>
      <c r="B82" s="2">
        <v>45661</v>
      </c>
      <c r="C82" t="s">
        <v>60</v>
      </c>
      <c r="D82" t="s">
        <v>61</v>
      </c>
      <c r="E82" t="s">
        <v>17</v>
      </c>
      <c r="F82" t="s">
        <v>49</v>
      </c>
      <c r="G82" t="s">
        <v>71</v>
      </c>
      <c r="H82" t="s">
        <v>72</v>
      </c>
      <c r="I82" t="s">
        <v>39</v>
      </c>
      <c r="J82">
        <v>2</v>
      </c>
      <c r="K82">
        <v>98000</v>
      </c>
      <c r="L82">
        <v>0</v>
      </c>
      <c r="M82">
        <v>196000</v>
      </c>
      <c r="N82">
        <v>14625262</v>
      </c>
      <c r="O82" t="s">
        <v>256</v>
      </c>
      <c r="P82" t="s">
        <v>262</v>
      </c>
      <c r="Q82">
        <v>1</v>
      </c>
      <c r="R82" t="s">
        <v>271</v>
      </c>
      <c r="S82" s="3">
        <v>196000</v>
      </c>
      <c r="T82" s="3">
        <v>14625262</v>
      </c>
    </row>
    <row r="83" spans="1:20" x14ac:dyDescent="0.2">
      <c r="A83" t="s">
        <v>144</v>
      </c>
      <c r="B83" s="2">
        <v>46103</v>
      </c>
      <c r="C83" t="s">
        <v>65</v>
      </c>
      <c r="D83" t="s">
        <v>66</v>
      </c>
      <c r="E83" t="s">
        <v>17</v>
      </c>
      <c r="F83" t="s">
        <v>49</v>
      </c>
      <c r="G83" t="s">
        <v>41</v>
      </c>
      <c r="H83" t="s">
        <v>42</v>
      </c>
      <c r="I83" t="s">
        <v>43</v>
      </c>
      <c r="J83">
        <v>1</v>
      </c>
      <c r="K83">
        <v>175000</v>
      </c>
      <c r="L83">
        <v>1</v>
      </c>
      <c r="M83">
        <v>1575000</v>
      </c>
      <c r="N83">
        <v>12341999</v>
      </c>
      <c r="O83" t="s">
        <v>259</v>
      </c>
      <c r="P83" t="s">
        <v>262</v>
      </c>
      <c r="Q83">
        <v>3</v>
      </c>
      <c r="R83" t="s">
        <v>263</v>
      </c>
      <c r="S83" s="3">
        <v>1575000</v>
      </c>
      <c r="T83" s="3">
        <v>12341999</v>
      </c>
    </row>
    <row r="84" spans="1:20" x14ac:dyDescent="0.2">
      <c r="A84" t="s">
        <v>145</v>
      </c>
      <c r="B84" s="2">
        <v>46115</v>
      </c>
      <c r="C84" t="s">
        <v>106</v>
      </c>
      <c r="D84" t="s">
        <v>107</v>
      </c>
      <c r="E84" t="s">
        <v>55</v>
      </c>
      <c r="F84" t="s">
        <v>30</v>
      </c>
      <c r="G84" t="s">
        <v>19</v>
      </c>
      <c r="H84" t="s">
        <v>20</v>
      </c>
      <c r="I84" t="s">
        <v>21</v>
      </c>
      <c r="J84">
        <v>5</v>
      </c>
      <c r="K84">
        <v>45000</v>
      </c>
      <c r="L84">
        <v>1</v>
      </c>
      <c r="M84">
        <v>2025000</v>
      </c>
      <c r="N84">
        <v>14599705</v>
      </c>
      <c r="O84" t="s">
        <v>259</v>
      </c>
      <c r="P84" t="s">
        <v>257</v>
      </c>
      <c r="Q84">
        <v>4</v>
      </c>
      <c r="R84" t="s">
        <v>258</v>
      </c>
      <c r="S84" s="3">
        <v>2025000</v>
      </c>
      <c r="T84" s="3">
        <v>14599705</v>
      </c>
    </row>
    <row r="85" spans="1:20" x14ac:dyDescent="0.2">
      <c r="A85" t="s">
        <v>146</v>
      </c>
      <c r="B85" s="2">
        <v>46091</v>
      </c>
      <c r="C85" t="s">
        <v>53</v>
      </c>
      <c r="D85" t="s">
        <v>54</v>
      </c>
      <c r="E85" t="s">
        <v>55</v>
      </c>
      <c r="F85" t="s">
        <v>18</v>
      </c>
      <c r="G85" t="s">
        <v>41</v>
      </c>
      <c r="H85" t="s">
        <v>42</v>
      </c>
      <c r="I85" t="s">
        <v>43</v>
      </c>
      <c r="J85">
        <v>8</v>
      </c>
      <c r="K85">
        <v>175000</v>
      </c>
      <c r="L85">
        <v>0</v>
      </c>
      <c r="M85">
        <v>1400000</v>
      </c>
      <c r="N85">
        <v>95508152</v>
      </c>
      <c r="O85" t="s">
        <v>259</v>
      </c>
      <c r="P85" t="s">
        <v>262</v>
      </c>
      <c r="Q85">
        <v>3</v>
      </c>
      <c r="R85" t="s">
        <v>263</v>
      </c>
      <c r="S85" s="3">
        <v>1400000</v>
      </c>
      <c r="T85" s="3">
        <v>95508152</v>
      </c>
    </row>
    <row r="86" spans="1:20" x14ac:dyDescent="0.2">
      <c r="A86" t="s">
        <v>147</v>
      </c>
      <c r="B86" s="2">
        <v>46015</v>
      </c>
      <c r="C86" t="s">
        <v>28</v>
      </c>
      <c r="D86" t="s">
        <v>29</v>
      </c>
      <c r="E86" t="s">
        <v>17</v>
      </c>
      <c r="F86" t="s">
        <v>30</v>
      </c>
      <c r="G86" t="s">
        <v>19</v>
      </c>
      <c r="H86" t="s">
        <v>20</v>
      </c>
      <c r="I86" t="s">
        <v>21</v>
      </c>
      <c r="J86">
        <v>6</v>
      </c>
      <c r="K86">
        <v>45000</v>
      </c>
      <c r="L86">
        <v>1</v>
      </c>
      <c r="M86">
        <v>2430000</v>
      </c>
      <c r="N86">
        <v>1929807</v>
      </c>
      <c r="O86" t="s">
        <v>256</v>
      </c>
      <c r="P86" t="s">
        <v>265</v>
      </c>
      <c r="Q86">
        <v>12</v>
      </c>
      <c r="R86" t="s">
        <v>273</v>
      </c>
      <c r="S86" s="3">
        <v>2430000</v>
      </c>
      <c r="T86" s="3">
        <v>1929807</v>
      </c>
    </row>
    <row r="87" spans="1:20" x14ac:dyDescent="0.2">
      <c r="A87" t="s">
        <v>148</v>
      </c>
      <c r="B87" s="2">
        <v>46297</v>
      </c>
      <c r="C87" t="s">
        <v>85</v>
      </c>
      <c r="D87" t="s">
        <v>86</v>
      </c>
      <c r="E87" t="s">
        <v>25</v>
      </c>
      <c r="F87" t="s">
        <v>18</v>
      </c>
      <c r="G87" t="s">
        <v>41</v>
      </c>
      <c r="H87" t="s">
        <v>42</v>
      </c>
      <c r="I87" t="s">
        <v>43</v>
      </c>
      <c r="J87">
        <v>3</v>
      </c>
      <c r="K87">
        <v>175000</v>
      </c>
      <c r="L87">
        <v>5</v>
      </c>
      <c r="M87">
        <v>4987500</v>
      </c>
      <c r="N87">
        <v>37105743</v>
      </c>
      <c r="O87" t="s">
        <v>259</v>
      </c>
      <c r="P87" t="s">
        <v>265</v>
      </c>
      <c r="Q87">
        <v>10</v>
      </c>
      <c r="R87" t="s">
        <v>272</v>
      </c>
      <c r="S87" s="3">
        <v>4987500</v>
      </c>
      <c r="T87" s="3">
        <v>37105743</v>
      </c>
    </row>
    <row r="88" spans="1:20" x14ac:dyDescent="0.2">
      <c r="A88" t="s">
        <v>149</v>
      </c>
      <c r="B88" s="2">
        <v>46284</v>
      </c>
      <c r="C88" t="s">
        <v>85</v>
      </c>
      <c r="D88" t="s">
        <v>86</v>
      </c>
      <c r="E88" t="s">
        <v>25</v>
      </c>
      <c r="F88" t="s">
        <v>36</v>
      </c>
      <c r="G88" t="s">
        <v>31</v>
      </c>
      <c r="H88" t="s">
        <v>32</v>
      </c>
      <c r="I88" t="s">
        <v>21</v>
      </c>
      <c r="J88">
        <v>8</v>
      </c>
      <c r="K88">
        <v>115000</v>
      </c>
      <c r="L88">
        <v>15</v>
      </c>
      <c r="M88">
        <v>7820000</v>
      </c>
      <c r="N88">
        <v>6116120</v>
      </c>
      <c r="O88" t="s">
        <v>259</v>
      </c>
      <c r="P88" t="s">
        <v>260</v>
      </c>
      <c r="Q88">
        <v>9</v>
      </c>
      <c r="R88" t="s">
        <v>270</v>
      </c>
      <c r="S88" s="3">
        <v>7820000</v>
      </c>
      <c r="T88" s="3">
        <v>6116120</v>
      </c>
    </row>
    <row r="89" spans="1:20" x14ac:dyDescent="0.2">
      <c r="A89" t="s">
        <v>150</v>
      </c>
      <c r="B89" s="2">
        <v>45699</v>
      </c>
      <c r="C89" t="s">
        <v>68</v>
      </c>
      <c r="D89" t="s">
        <v>69</v>
      </c>
      <c r="E89" t="s">
        <v>25</v>
      </c>
      <c r="F89" t="s">
        <v>18</v>
      </c>
      <c r="G89" t="s">
        <v>56</v>
      </c>
      <c r="H89" t="s">
        <v>57</v>
      </c>
      <c r="I89" t="s">
        <v>58</v>
      </c>
      <c r="J89">
        <v>2</v>
      </c>
      <c r="K89">
        <v>120000</v>
      </c>
      <c r="L89">
        <v>0</v>
      </c>
      <c r="M89">
        <v>240000</v>
      </c>
      <c r="N89">
        <v>17370848</v>
      </c>
      <c r="O89" t="s">
        <v>256</v>
      </c>
      <c r="P89" t="s">
        <v>262</v>
      </c>
      <c r="Q89">
        <v>2</v>
      </c>
      <c r="R89" t="s">
        <v>268</v>
      </c>
      <c r="S89" s="3">
        <v>240000</v>
      </c>
      <c r="T89" s="3">
        <v>17370848</v>
      </c>
    </row>
    <row r="90" spans="1:20" x14ac:dyDescent="0.2">
      <c r="A90" t="s">
        <v>151</v>
      </c>
      <c r="B90" s="2">
        <v>45737</v>
      </c>
      <c r="C90" t="s">
        <v>60</v>
      </c>
      <c r="D90" t="s">
        <v>61</v>
      </c>
      <c r="E90" t="s">
        <v>17</v>
      </c>
      <c r="F90" t="s">
        <v>49</v>
      </c>
      <c r="G90" t="s">
        <v>45</v>
      </c>
      <c r="H90" t="s">
        <v>46</v>
      </c>
      <c r="I90" t="s">
        <v>47</v>
      </c>
      <c r="J90">
        <v>3</v>
      </c>
      <c r="K90">
        <v>850000</v>
      </c>
      <c r="L90">
        <v>15</v>
      </c>
      <c r="M90">
        <v>21675000</v>
      </c>
      <c r="N90">
        <v>157737063</v>
      </c>
      <c r="O90" t="s">
        <v>256</v>
      </c>
      <c r="P90" t="s">
        <v>262</v>
      </c>
      <c r="Q90">
        <v>3</v>
      </c>
      <c r="R90" t="s">
        <v>263</v>
      </c>
      <c r="S90" s="3">
        <v>21675000</v>
      </c>
      <c r="T90" s="3">
        <v>157737063</v>
      </c>
    </row>
    <row r="91" spans="1:20" x14ac:dyDescent="0.2">
      <c r="A91" t="s">
        <v>152</v>
      </c>
      <c r="B91" s="2">
        <v>45901</v>
      </c>
      <c r="C91" t="s">
        <v>68</v>
      </c>
      <c r="D91" t="s">
        <v>69</v>
      </c>
      <c r="E91" t="s">
        <v>25</v>
      </c>
      <c r="F91" t="s">
        <v>36</v>
      </c>
      <c r="G91" t="s">
        <v>71</v>
      </c>
      <c r="H91" t="s">
        <v>72</v>
      </c>
      <c r="I91" t="s">
        <v>39</v>
      </c>
      <c r="J91">
        <v>7</v>
      </c>
      <c r="K91">
        <v>98000</v>
      </c>
      <c r="L91">
        <v>0</v>
      </c>
      <c r="M91">
        <v>686000</v>
      </c>
      <c r="N91">
        <v>46358844</v>
      </c>
      <c r="O91" t="s">
        <v>256</v>
      </c>
      <c r="P91" t="s">
        <v>260</v>
      </c>
      <c r="Q91">
        <v>9</v>
      </c>
      <c r="R91" t="s">
        <v>270</v>
      </c>
      <c r="S91" s="3">
        <v>686000</v>
      </c>
      <c r="T91" s="3">
        <v>46358844</v>
      </c>
    </row>
    <row r="92" spans="1:20" x14ac:dyDescent="0.2">
      <c r="A92" t="s">
        <v>153</v>
      </c>
      <c r="B92" s="2">
        <v>46149</v>
      </c>
      <c r="C92" t="s">
        <v>85</v>
      </c>
      <c r="D92" t="s">
        <v>86</v>
      </c>
      <c r="E92" t="s">
        <v>25</v>
      </c>
      <c r="F92" t="s">
        <v>36</v>
      </c>
      <c r="G92" t="s">
        <v>50</v>
      </c>
      <c r="H92" t="s">
        <v>51</v>
      </c>
      <c r="I92" t="s">
        <v>21</v>
      </c>
      <c r="J92">
        <v>5</v>
      </c>
      <c r="K92">
        <v>320000</v>
      </c>
      <c r="L92">
        <v>15</v>
      </c>
      <c r="M92">
        <v>13600000</v>
      </c>
      <c r="N92">
        <v>89401615</v>
      </c>
      <c r="O92" t="s">
        <v>259</v>
      </c>
      <c r="P92" t="s">
        <v>257</v>
      </c>
      <c r="Q92">
        <v>5</v>
      </c>
      <c r="R92" t="s">
        <v>269</v>
      </c>
      <c r="S92" s="3">
        <v>13600000</v>
      </c>
      <c r="T92" s="3">
        <v>89401615</v>
      </c>
    </row>
    <row r="93" spans="1:20" x14ac:dyDescent="0.2">
      <c r="A93" t="s">
        <v>154</v>
      </c>
      <c r="B93" s="2">
        <v>45980</v>
      </c>
      <c r="C93" t="s">
        <v>53</v>
      </c>
      <c r="D93" t="s">
        <v>54</v>
      </c>
      <c r="E93" t="s">
        <v>55</v>
      </c>
      <c r="F93" t="s">
        <v>26</v>
      </c>
      <c r="G93" t="s">
        <v>19</v>
      </c>
      <c r="H93" t="s">
        <v>20</v>
      </c>
      <c r="I93" t="s">
        <v>21</v>
      </c>
      <c r="J93">
        <v>4</v>
      </c>
      <c r="K93">
        <v>45000</v>
      </c>
      <c r="L93">
        <v>0</v>
      </c>
      <c r="M93">
        <v>180000</v>
      </c>
      <c r="N93">
        <v>1264600</v>
      </c>
      <c r="O93" t="s">
        <v>256</v>
      </c>
      <c r="P93" t="s">
        <v>265</v>
      </c>
      <c r="Q93">
        <v>11</v>
      </c>
      <c r="R93" t="s">
        <v>266</v>
      </c>
      <c r="S93" s="3">
        <v>180000</v>
      </c>
      <c r="T93" s="3">
        <v>1264600</v>
      </c>
    </row>
    <row r="94" spans="1:20" x14ac:dyDescent="0.2">
      <c r="A94" t="s">
        <v>155</v>
      </c>
      <c r="B94" s="2">
        <v>45783</v>
      </c>
      <c r="C94" t="s">
        <v>85</v>
      </c>
      <c r="D94" t="s">
        <v>86</v>
      </c>
      <c r="E94" t="s">
        <v>25</v>
      </c>
      <c r="F94" t="s">
        <v>36</v>
      </c>
      <c r="G94" t="s">
        <v>56</v>
      </c>
      <c r="H94" t="s">
        <v>57</v>
      </c>
      <c r="I94" t="s">
        <v>58</v>
      </c>
      <c r="J94">
        <v>7</v>
      </c>
      <c r="K94">
        <v>120000</v>
      </c>
      <c r="L94">
        <v>5</v>
      </c>
      <c r="M94">
        <v>7980000</v>
      </c>
      <c r="N94">
        <v>52925712</v>
      </c>
      <c r="O94" t="s">
        <v>256</v>
      </c>
      <c r="P94" t="s">
        <v>257</v>
      </c>
      <c r="Q94">
        <v>5</v>
      </c>
      <c r="R94" t="s">
        <v>269</v>
      </c>
      <c r="S94" s="3">
        <v>7980000</v>
      </c>
      <c r="T94" s="3">
        <v>52925712</v>
      </c>
    </row>
    <row r="95" spans="1:20" x14ac:dyDescent="0.2">
      <c r="A95" t="s">
        <v>156</v>
      </c>
      <c r="B95" s="2">
        <v>46005</v>
      </c>
      <c r="C95" t="s">
        <v>15</v>
      </c>
      <c r="D95" t="s">
        <v>16</v>
      </c>
      <c r="E95" t="s">
        <v>17</v>
      </c>
      <c r="F95" t="s">
        <v>18</v>
      </c>
      <c r="G95" t="s">
        <v>50</v>
      </c>
      <c r="H95" t="s">
        <v>51</v>
      </c>
      <c r="I95" t="s">
        <v>21</v>
      </c>
      <c r="J95">
        <v>3</v>
      </c>
      <c r="K95">
        <v>320000</v>
      </c>
      <c r="L95">
        <v>0</v>
      </c>
      <c r="M95">
        <v>960000</v>
      </c>
      <c r="N95">
        <v>67404027</v>
      </c>
      <c r="O95" t="s">
        <v>256</v>
      </c>
      <c r="P95" t="s">
        <v>265</v>
      </c>
      <c r="Q95">
        <v>12</v>
      </c>
      <c r="R95" t="s">
        <v>273</v>
      </c>
      <c r="S95" s="3">
        <v>960000</v>
      </c>
      <c r="T95" s="3">
        <v>67404027</v>
      </c>
    </row>
    <row r="96" spans="1:20" x14ac:dyDescent="0.2">
      <c r="A96" t="s">
        <v>157</v>
      </c>
      <c r="B96" s="2">
        <v>46363</v>
      </c>
      <c r="C96" t="s">
        <v>53</v>
      </c>
      <c r="D96" t="s">
        <v>54</v>
      </c>
      <c r="E96" t="s">
        <v>55</v>
      </c>
      <c r="F96" t="s">
        <v>49</v>
      </c>
      <c r="G96" t="s">
        <v>37</v>
      </c>
      <c r="H96" t="s">
        <v>38</v>
      </c>
      <c r="I96" t="s">
        <v>39</v>
      </c>
      <c r="J96">
        <v>4</v>
      </c>
      <c r="K96">
        <v>145000</v>
      </c>
      <c r="L96">
        <v>5</v>
      </c>
      <c r="M96">
        <v>5510000</v>
      </c>
      <c r="N96">
        <v>3312676</v>
      </c>
      <c r="O96" t="s">
        <v>259</v>
      </c>
      <c r="P96" t="s">
        <v>265</v>
      </c>
      <c r="Q96">
        <v>12</v>
      </c>
      <c r="R96" t="s">
        <v>273</v>
      </c>
      <c r="S96" s="3">
        <v>5510000</v>
      </c>
      <c r="T96" s="3">
        <v>3312676</v>
      </c>
    </row>
    <row r="97" spans="1:20" x14ac:dyDescent="0.2">
      <c r="A97" t="s">
        <v>158</v>
      </c>
      <c r="B97" s="2">
        <v>45794</v>
      </c>
      <c r="C97" t="s">
        <v>60</v>
      </c>
      <c r="D97" t="s">
        <v>61</v>
      </c>
      <c r="E97" t="s">
        <v>17</v>
      </c>
      <c r="F97" t="s">
        <v>26</v>
      </c>
      <c r="G97" t="s">
        <v>37</v>
      </c>
      <c r="H97" t="s">
        <v>38</v>
      </c>
      <c r="I97" t="s">
        <v>39</v>
      </c>
      <c r="J97">
        <v>5</v>
      </c>
      <c r="K97">
        <v>145000</v>
      </c>
      <c r="L97">
        <v>15</v>
      </c>
      <c r="M97">
        <v>6162500</v>
      </c>
      <c r="N97">
        <v>4080864</v>
      </c>
      <c r="O97" t="s">
        <v>256</v>
      </c>
      <c r="P97" t="s">
        <v>257</v>
      </c>
      <c r="Q97">
        <v>5</v>
      </c>
      <c r="R97" t="s">
        <v>269</v>
      </c>
      <c r="S97" s="3">
        <v>6162500</v>
      </c>
      <c r="T97" s="3">
        <v>4080864</v>
      </c>
    </row>
    <row r="98" spans="1:20" x14ac:dyDescent="0.2">
      <c r="A98" t="s">
        <v>159</v>
      </c>
      <c r="B98" s="2">
        <v>45675</v>
      </c>
      <c r="C98" t="s">
        <v>60</v>
      </c>
      <c r="D98" t="s">
        <v>61</v>
      </c>
      <c r="E98" t="s">
        <v>17</v>
      </c>
      <c r="F98" t="s">
        <v>49</v>
      </c>
      <c r="G98" t="s">
        <v>31</v>
      </c>
      <c r="H98" t="s">
        <v>32</v>
      </c>
      <c r="I98" t="s">
        <v>21</v>
      </c>
      <c r="J98">
        <v>5</v>
      </c>
      <c r="K98">
        <v>115000</v>
      </c>
      <c r="L98">
        <v>1</v>
      </c>
      <c r="M98">
        <v>5175000</v>
      </c>
      <c r="N98">
        <v>3211525</v>
      </c>
      <c r="O98" t="s">
        <v>256</v>
      </c>
      <c r="P98" t="s">
        <v>262</v>
      </c>
      <c r="Q98">
        <v>1</v>
      </c>
      <c r="R98" t="s">
        <v>271</v>
      </c>
      <c r="S98" s="3">
        <v>5175000</v>
      </c>
      <c r="T98" s="3">
        <v>3211525</v>
      </c>
    </row>
    <row r="99" spans="1:20" x14ac:dyDescent="0.2">
      <c r="A99" t="s">
        <v>160</v>
      </c>
      <c r="B99" s="2">
        <v>46299</v>
      </c>
      <c r="C99" t="s">
        <v>53</v>
      </c>
      <c r="D99" t="s">
        <v>54</v>
      </c>
      <c r="E99" t="s">
        <v>55</v>
      </c>
      <c r="F99" t="s">
        <v>36</v>
      </c>
      <c r="G99" t="s">
        <v>50</v>
      </c>
      <c r="H99" t="s">
        <v>51</v>
      </c>
      <c r="I99" t="s">
        <v>21</v>
      </c>
      <c r="J99">
        <v>5</v>
      </c>
      <c r="K99">
        <v>320000</v>
      </c>
      <c r="L99">
        <v>15</v>
      </c>
      <c r="M99">
        <v>13600000</v>
      </c>
      <c r="N99">
        <v>104813835</v>
      </c>
      <c r="O99" t="s">
        <v>259</v>
      </c>
      <c r="P99" t="s">
        <v>265</v>
      </c>
      <c r="Q99">
        <v>10</v>
      </c>
      <c r="R99" t="s">
        <v>272</v>
      </c>
      <c r="S99" s="3">
        <v>13600000</v>
      </c>
      <c r="T99" s="3">
        <v>104813835</v>
      </c>
    </row>
    <row r="100" spans="1:20" x14ac:dyDescent="0.2">
      <c r="A100" t="s">
        <v>161</v>
      </c>
      <c r="B100" s="2">
        <v>46039</v>
      </c>
      <c r="C100" t="s">
        <v>15</v>
      </c>
      <c r="D100" t="s">
        <v>16</v>
      </c>
      <c r="E100" t="s">
        <v>17</v>
      </c>
      <c r="F100" t="s">
        <v>49</v>
      </c>
      <c r="G100" t="s">
        <v>37</v>
      </c>
      <c r="H100" t="s">
        <v>38</v>
      </c>
      <c r="I100" t="s">
        <v>39</v>
      </c>
      <c r="J100">
        <v>3</v>
      </c>
      <c r="K100">
        <v>145000</v>
      </c>
      <c r="L100">
        <v>5</v>
      </c>
      <c r="M100">
        <v>4132500</v>
      </c>
      <c r="N100">
        <v>30225846</v>
      </c>
      <c r="O100" t="s">
        <v>259</v>
      </c>
      <c r="P100" t="s">
        <v>262</v>
      </c>
      <c r="Q100">
        <v>1</v>
      </c>
      <c r="R100" t="s">
        <v>271</v>
      </c>
      <c r="S100" s="3">
        <v>4132500</v>
      </c>
      <c r="T100" s="3">
        <v>30225846</v>
      </c>
    </row>
    <row r="101" spans="1:20" x14ac:dyDescent="0.2">
      <c r="A101" t="s">
        <v>162</v>
      </c>
      <c r="B101" s="2">
        <v>46075</v>
      </c>
      <c r="C101" t="s">
        <v>34</v>
      </c>
      <c r="D101" t="s">
        <v>35</v>
      </c>
      <c r="E101" t="s">
        <v>25</v>
      </c>
      <c r="F101" t="s">
        <v>26</v>
      </c>
      <c r="G101" t="s">
        <v>37</v>
      </c>
      <c r="H101" t="s">
        <v>38</v>
      </c>
      <c r="I101" t="s">
        <v>39</v>
      </c>
      <c r="J101">
        <v>1</v>
      </c>
      <c r="K101">
        <v>145000</v>
      </c>
      <c r="L101">
        <v>1</v>
      </c>
      <c r="M101">
        <v>1305000</v>
      </c>
      <c r="N101">
        <v>7567835</v>
      </c>
      <c r="O101" t="s">
        <v>259</v>
      </c>
      <c r="P101" t="s">
        <v>262</v>
      </c>
      <c r="Q101">
        <v>2</v>
      </c>
      <c r="R101" t="s">
        <v>268</v>
      </c>
      <c r="S101" s="3">
        <v>1305000</v>
      </c>
      <c r="T101" s="3">
        <v>7567835</v>
      </c>
    </row>
    <row r="102" spans="1:20" x14ac:dyDescent="0.2">
      <c r="A102" t="s">
        <v>163</v>
      </c>
      <c r="B102" s="2">
        <v>46169</v>
      </c>
      <c r="C102" t="s">
        <v>65</v>
      </c>
      <c r="D102" t="s">
        <v>66</v>
      </c>
      <c r="E102" t="s">
        <v>17</v>
      </c>
      <c r="F102" t="s">
        <v>18</v>
      </c>
      <c r="G102" t="s">
        <v>19</v>
      </c>
      <c r="H102" t="s">
        <v>20</v>
      </c>
      <c r="I102" t="s">
        <v>21</v>
      </c>
      <c r="J102">
        <v>1</v>
      </c>
      <c r="K102">
        <v>45000</v>
      </c>
      <c r="L102">
        <v>0</v>
      </c>
      <c r="M102">
        <v>45000</v>
      </c>
      <c r="N102">
        <v>2804842</v>
      </c>
      <c r="O102" t="s">
        <v>259</v>
      </c>
      <c r="P102" t="s">
        <v>257</v>
      </c>
      <c r="Q102">
        <v>5</v>
      </c>
      <c r="R102" t="s">
        <v>269</v>
      </c>
      <c r="S102" s="3">
        <v>45000</v>
      </c>
      <c r="T102" s="3">
        <v>2804842</v>
      </c>
    </row>
    <row r="103" spans="1:20" x14ac:dyDescent="0.2">
      <c r="A103" t="s">
        <v>164</v>
      </c>
      <c r="B103" s="2">
        <v>45973</v>
      </c>
      <c r="C103" t="s">
        <v>34</v>
      </c>
      <c r="D103" t="s">
        <v>35</v>
      </c>
      <c r="E103" t="s">
        <v>25</v>
      </c>
      <c r="F103" t="s">
        <v>18</v>
      </c>
      <c r="G103" t="s">
        <v>50</v>
      </c>
      <c r="H103" t="s">
        <v>51</v>
      </c>
      <c r="I103" t="s">
        <v>21</v>
      </c>
      <c r="J103">
        <v>5</v>
      </c>
      <c r="K103">
        <v>320000</v>
      </c>
      <c r="L103">
        <v>0</v>
      </c>
      <c r="M103">
        <v>1600000</v>
      </c>
      <c r="N103">
        <v>11311776</v>
      </c>
      <c r="O103" t="s">
        <v>256</v>
      </c>
      <c r="P103" t="s">
        <v>265</v>
      </c>
      <c r="Q103">
        <v>11</v>
      </c>
      <c r="R103" t="s">
        <v>266</v>
      </c>
      <c r="S103" s="3">
        <v>1600000</v>
      </c>
      <c r="T103" s="3">
        <v>11311776</v>
      </c>
    </row>
    <row r="104" spans="1:20" x14ac:dyDescent="0.2">
      <c r="A104" t="s">
        <v>165</v>
      </c>
      <c r="B104" s="2">
        <v>46253</v>
      </c>
      <c r="C104" t="s">
        <v>53</v>
      </c>
      <c r="D104" t="s">
        <v>54</v>
      </c>
      <c r="E104" t="s">
        <v>55</v>
      </c>
      <c r="F104" t="s">
        <v>18</v>
      </c>
      <c r="G104" t="s">
        <v>31</v>
      </c>
      <c r="H104" t="s">
        <v>32</v>
      </c>
      <c r="I104" t="s">
        <v>21</v>
      </c>
      <c r="J104">
        <v>7</v>
      </c>
      <c r="K104">
        <v>115000</v>
      </c>
      <c r="L104">
        <v>0</v>
      </c>
      <c r="M104">
        <v>805000</v>
      </c>
      <c r="N104">
        <v>54604235</v>
      </c>
      <c r="O104" t="s">
        <v>259</v>
      </c>
      <c r="P104" t="s">
        <v>260</v>
      </c>
      <c r="Q104">
        <v>8</v>
      </c>
      <c r="R104" t="s">
        <v>261</v>
      </c>
      <c r="S104" s="3">
        <v>805000</v>
      </c>
      <c r="T104" s="3">
        <v>54604235</v>
      </c>
    </row>
    <row r="105" spans="1:20" x14ac:dyDescent="0.2">
      <c r="A105" t="s">
        <v>166</v>
      </c>
      <c r="B105" s="2">
        <v>45826</v>
      </c>
      <c r="C105" t="s">
        <v>34</v>
      </c>
      <c r="D105" t="s">
        <v>35</v>
      </c>
      <c r="E105" t="s">
        <v>25</v>
      </c>
      <c r="F105" t="s">
        <v>18</v>
      </c>
      <c r="G105" t="s">
        <v>45</v>
      </c>
      <c r="H105" t="s">
        <v>46</v>
      </c>
      <c r="I105" t="s">
        <v>47</v>
      </c>
      <c r="J105">
        <v>6</v>
      </c>
      <c r="K105">
        <v>850000</v>
      </c>
      <c r="L105">
        <v>1</v>
      </c>
      <c r="M105">
        <v>45900000</v>
      </c>
      <c r="N105">
        <v>291849048</v>
      </c>
      <c r="O105" t="s">
        <v>256</v>
      </c>
      <c r="P105" t="s">
        <v>257</v>
      </c>
      <c r="Q105">
        <v>6</v>
      </c>
      <c r="R105" t="s">
        <v>267</v>
      </c>
      <c r="S105" s="3">
        <v>45900000</v>
      </c>
      <c r="T105" s="3">
        <v>291849048</v>
      </c>
    </row>
    <row r="106" spans="1:20" x14ac:dyDescent="0.2">
      <c r="A106" t="s">
        <v>167</v>
      </c>
      <c r="B106" s="2">
        <v>45871</v>
      </c>
      <c r="C106" t="s">
        <v>85</v>
      </c>
      <c r="D106" t="s">
        <v>86</v>
      </c>
      <c r="E106" t="s">
        <v>25</v>
      </c>
      <c r="F106" t="s">
        <v>30</v>
      </c>
      <c r="G106" t="s">
        <v>19</v>
      </c>
      <c r="H106" t="s">
        <v>20</v>
      </c>
      <c r="I106" t="s">
        <v>21</v>
      </c>
      <c r="J106">
        <v>1</v>
      </c>
      <c r="K106">
        <v>45000</v>
      </c>
      <c r="L106">
        <v>1</v>
      </c>
      <c r="M106">
        <v>405000</v>
      </c>
      <c r="N106">
        <v>2495403</v>
      </c>
      <c r="O106" t="s">
        <v>256</v>
      </c>
      <c r="P106" t="s">
        <v>260</v>
      </c>
      <c r="Q106">
        <v>8</v>
      </c>
      <c r="R106" t="s">
        <v>261</v>
      </c>
      <c r="S106" s="3">
        <v>405000</v>
      </c>
      <c r="T106" s="3">
        <v>2495403</v>
      </c>
    </row>
    <row r="107" spans="1:20" x14ac:dyDescent="0.2">
      <c r="A107" t="s">
        <v>168</v>
      </c>
      <c r="B107" s="2">
        <v>45821</v>
      </c>
      <c r="C107" t="s">
        <v>68</v>
      </c>
      <c r="D107" t="s">
        <v>69</v>
      </c>
      <c r="E107" t="s">
        <v>25</v>
      </c>
      <c r="F107" t="s">
        <v>18</v>
      </c>
      <c r="G107" t="s">
        <v>37</v>
      </c>
      <c r="H107" t="s">
        <v>38</v>
      </c>
      <c r="I107" t="s">
        <v>39</v>
      </c>
      <c r="J107">
        <v>7</v>
      </c>
      <c r="K107">
        <v>145000</v>
      </c>
      <c r="L107">
        <v>0</v>
      </c>
      <c r="M107">
        <v>1015000</v>
      </c>
      <c r="N107">
        <v>78811446</v>
      </c>
      <c r="O107" t="s">
        <v>256</v>
      </c>
      <c r="P107" t="s">
        <v>257</v>
      </c>
      <c r="Q107">
        <v>6</v>
      </c>
      <c r="R107" t="s">
        <v>267</v>
      </c>
      <c r="S107" s="3">
        <v>1015000</v>
      </c>
      <c r="T107" s="3">
        <v>78811446</v>
      </c>
    </row>
    <row r="108" spans="1:20" x14ac:dyDescent="0.2">
      <c r="A108" t="s">
        <v>169</v>
      </c>
      <c r="B108" s="2">
        <v>46240</v>
      </c>
      <c r="C108" t="s">
        <v>68</v>
      </c>
      <c r="D108" t="s">
        <v>69</v>
      </c>
      <c r="E108" t="s">
        <v>25</v>
      </c>
      <c r="F108" t="s">
        <v>18</v>
      </c>
      <c r="G108" t="s">
        <v>19</v>
      </c>
      <c r="H108" t="s">
        <v>20</v>
      </c>
      <c r="I108" t="s">
        <v>21</v>
      </c>
      <c r="J108">
        <v>8</v>
      </c>
      <c r="K108">
        <v>45000</v>
      </c>
      <c r="L108">
        <v>0</v>
      </c>
      <c r="M108">
        <v>360000</v>
      </c>
      <c r="N108">
        <v>22184952</v>
      </c>
      <c r="O108" t="s">
        <v>259</v>
      </c>
      <c r="P108" t="s">
        <v>260</v>
      </c>
      <c r="Q108">
        <v>8</v>
      </c>
      <c r="R108" t="s">
        <v>261</v>
      </c>
      <c r="S108" s="3">
        <v>360000</v>
      </c>
      <c r="T108" s="3">
        <v>22184952</v>
      </c>
    </row>
    <row r="109" spans="1:20" x14ac:dyDescent="0.2">
      <c r="A109" t="s">
        <v>170</v>
      </c>
      <c r="B109" s="2">
        <v>46105</v>
      </c>
      <c r="C109" t="s">
        <v>34</v>
      </c>
      <c r="D109" t="s">
        <v>35</v>
      </c>
      <c r="E109" t="s">
        <v>25</v>
      </c>
      <c r="F109" t="s">
        <v>36</v>
      </c>
      <c r="G109" t="s">
        <v>56</v>
      </c>
      <c r="H109" t="s">
        <v>57</v>
      </c>
      <c r="I109" t="s">
        <v>58</v>
      </c>
      <c r="J109">
        <v>6</v>
      </c>
      <c r="K109">
        <v>120000</v>
      </c>
      <c r="L109">
        <v>15</v>
      </c>
      <c r="M109">
        <v>6120000</v>
      </c>
      <c r="N109">
        <v>51055908</v>
      </c>
      <c r="O109" t="s">
        <v>259</v>
      </c>
      <c r="P109" t="s">
        <v>262</v>
      </c>
      <c r="Q109">
        <v>3</v>
      </c>
      <c r="R109" t="s">
        <v>263</v>
      </c>
      <c r="S109" s="3">
        <v>6120000</v>
      </c>
      <c r="T109" s="3">
        <v>51055908</v>
      </c>
    </row>
    <row r="110" spans="1:20" x14ac:dyDescent="0.2">
      <c r="A110" t="s">
        <v>171</v>
      </c>
      <c r="B110" s="2">
        <v>46000</v>
      </c>
      <c r="C110" t="s">
        <v>85</v>
      </c>
      <c r="D110" t="s">
        <v>86</v>
      </c>
      <c r="E110" t="s">
        <v>25</v>
      </c>
      <c r="F110" t="s">
        <v>49</v>
      </c>
      <c r="G110" t="s">
        <v>19</v>
      </c>
      <c r="H110" t="s">
        <v>20</v>
      </c>
      <c r="I110" t="s">
        <v>21</v>
      </c>
      <c r="J110">
        <v>4</v>
      </c>
      <c r="K110">
        <v>45000</v>
      </c>
      <c r="L110">
        <v>15</v>
      </c>
      <c r="M110">
        <v>1530000</v>
      </c>
      <c r="N110">
        <v>1311710</v>
      </c>
      <c r="O110" t="s">
        <v>256</v>
      </c>
      <c r="P110" t="s">
        <v>265</v>
      </c>
      <c r="Q110">
        <v>12</v>
      </c>
      <c r="R110" t="s">
        <v>273</v>
      </c>
      <c r="S110" s="3">
        <v>1530000</v>
      </c>
      <c r="T110" s="3">
        <v>1311710</v>
      </c>
    </row>
    <row r="111" spans="1:20" x14ac:dyDescent="0.2">
      <c r="A111" t="s">
        <v>172</v>
      </c>
      <c r="B111" s="2">
        <v>45813</v>
      </c>
      <c r="C111" t="s">
        <v>65</v>
      </c>
      <c r="D111" t="s">
        <v>66</v>
      </c>
      <c r="E111" t="s">
        <v>17</v>
      </c>
      <c r="F111" t="s">
        <v>30</v>
      </c>
      <c r="G111" t="s">
        <v>31</v>
      </c>
      <c r="H111" t="s">
        <v>32</v>
      </c>
      <c r="I111" t="s">
        <v>21</v>
      </c>
      <c r="J111">
        <v>1</v>
      </c>
      <c r="K111">
        <v>115000</v>
      </c>
      <c r="L111">
        <v>15</v>
      </c>
      <c r="M111">
        <v>977500</v>
      </c>
      <c r="N111">
        <v>7065016</v>
      </c>
      <c r="O111" t="s">
        <v>256</v>
      </c>
      <c r="P111" t="s">
        <v>257</v>
      </c>
      <c r="Q111">
        <v>6</v>
      </c>
      <c r="R111" t="s">
        <v>267</v>
      </c>
      <c r="S111" s="3">
        <v>977500</v>
      </c>
      <c r="T111" s="3">
        <v>7065016</v>
      </c>
    </row>
    <row r="112" spans="1:20" x14ac:dyDescent="0.2">
      <c r="A112" t="s">
        <v>173</v>
      </c>
      <c r="B112" s="2">
        <v>46305</v>
      </c>
      <c r="C112" t="s">
        <v>53</v>
      </c>
      <c r="D112" t="s">
        <v>54</v>
      </c>
      <c r="E112" t="s">
        <v>55</v>
      </c>
      <c r="F112" t="s">
        <v>18</v>
      </c>
      <c r="G112" t="s">
        <v>37</v>
      </c>
      <c r="H112" t="s">
        <v>38</v>
      </c>
      <c r="I112" t="s">
        <v>39</v>
      </c>
      <c r="J112">
        <v>1</v>
      </c>
      <c r="K112">
        <v>145000</v>
      </c>
      <c r="L112">
        <v>15</v>
      </c>
      <c r="M112">
        <v>1232500</v>
      </c>
      <c r="N112">
        <v>9213495</v>
      </c>
      <c r="O112" t="s">
        <v>259</v>
      </c>
      <c r="P112" t="s">
        <v>265</v>
      </c>
      <c r="Q112">
        <v>10</v>
      </c>
      <c r="R112" t="s">
        <v>272</v>
      </c>
      <c r="S112" s="3">
        <v>1232500</v>
      </c>
      <c r="T112" s="3">
        <v>9213495</v>
      </c>
    </row>
    <row r="113" spans="1:20" x14ac:dyDescent="0.2">
      <c r="A113" t="s">
        <v>174</v>
      </c>
      <c r="B113" s="2">
        <v>46070</v>
      </c>
      <c r="C113" t="s">
        <v>28</v>
      </c>
      <c r="D113" t="s">
        <v>29</v>
      </c>
      <c r="E113" t="s">
        <v>17</v>
      </c>
      <c r="F113" t="s">
        <v>18</v>
      </c>
      <c r="G113" t="s">
        <v>19</v>
      </c>
      <c r="H113" t="s">
        <v>20</v>
      </c>
      <c r="I113" t="s">
        <v>21</v>
      </c>
      <c r="J113">
        <v>3</v>
      </c>
      <c r="K113">
        <v>45000</v>
      </c>
      <c r="L113">
        <v>15</v>
      </c>
      <c r="M113">
        <v>1147500</v>
      </c>
      <c r="N113">
        <v>10365591</v>
      </c>
      <c r="O113" t="s">
        <v>259</v>
      </c>
      <c r="P113" t="s">
        <v>262</v>
      </c>
      <c r="Q113">
        <v>2</v>
      </c>
      <c r="R113" t="s">
        <v>268</v>
      </c>
      <c r="S113" s="3">
        <v>1147500</v>
      </c>
      <c r="T113" s="3">
        <v>10365591</v>
      </c>
    </row>
    <row r="114" spans="1:20" x14ac:dyDescent="0.2">
      <c r="A114" t="s">
        <v>175</v>
      </c>
      <c r="B114" s="2">
        <v>46206</v>
      </c>
      <c r="C114" t="s">
        <v>106</v>
      </c>
      <c r="D114" t="s">
        <v>107</v>
      </c>
      <c r="E114" t="s">
        <v>55</v>
      </c>
      <c r="F114" t="s">
        <v>30</v>
      </c>
      <c r="G114" t="s">
        <v>45</v>
      </c>
      <c r="H114" t="s">
        <v>46</v>
      </c>
      <c r="I114" t="s">
        <v>47</v>
      </c>
      <c r="J114">
        <v>3</v>
      </c>
      <c r="K114">
        <v>850000</v>
      </c>
      <c r="L114">
        <v>15</v>
      </c>
      <c r="M114">
        <v>21675000</v>
      </c>
      <c r="N114">
        <v>184426854</v>
      </c>
      <c r="O114" t="s">
        <v>259</v>
      </c>
      <c r="P114" t="s">
        <v>260</v>
      </c>
      <c r="Q114">
        <v>7</v>
      </c>
      <c r="R114" t="s">
        <v>264</v>
      </c>
      <c r="S114" s="3">
        <v>21675000</v>
      </c>
      <c r="T114" s="3">
        <v>184426854</v>
      </c>
    </row>
    <row r="115" spans="1:20" x14ac:dyDescent="0.2">
      <c r="S115" s="3">
        <f>SUBTOTAL(109,ThVentas[Costo Total2])</f>
        <v>866282000</v>
      </c>
      <c r="T115" s="3">
        <f>SUBTOTAL(109,ThVentas[Monto venta3])</f>
        <v>6612047729</v>
      </c>
    </row>
    <row r="118" spans="1:20" x14ac:dyDescent="0.2">
      <c r="T118" t="s">
        <v>247</v>
      </c>
    </row>
    <row r="119" spans="1:20" x14ac:dyDescent="0.2">
      <c r="T119" s="26">
        <f>ThVentas[[#Totals],[Monto venta3]]-ThVentas[[#Totals],[Costo Total2]]</f>
        <v>5745765729</v>
      </c>
    </row>
  </sheetData>
  <phoneticPr fontId="9" type="noConversion"/>
  <conditionalFormatting sqref="T1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0EEBC-A078-44CB-8B8F-5FEABAF185F5}">
  <dimension ref="B9:F12"/>
  <sheetViews>
    <sheetView showGridLines="0" tabSelected="1" workbookViewId="0">
      <selection activeCell="L45" sqref="L45"/>
    </sheetView>
  </sheetViews>
  <sheetFormatPr baseColWidth="10" defaultRowHeight="14.25" x14ac:dyDescent="0.2"/>
  <cols>
    <col min="1" max="16384" width="11" style="19"/>
  </cols>
  <sheetData>
    <row r="9" spans="2:6" x14ac:dyDescent="0.2">
      <c r="F9" s="19" t="s">
        <v>245</v>
      </c>
    </row>
    <row r="11" spans="2:6" x14ac:dyDescent="0.2">
      <c r="B11" s="24"/>
    </row>
    <row r="12" spans="2:6" x14ac:dyDescent="0.2">
      <c r="C12" s="23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ACA45-564A-449F-AA6D-9BEFE506E264}">
  <dimension ref="A1"/>
  <sheetViews>
    <sheetView workbookViewId="0">
      <selection activeCell="K47" sqref="K47"/>
    </sheetView>
  </sheetViews>
  <sheetFormatPr baseColWidth="10" defaultRowHeight="14.25" x14ac:dyDescent="0.2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09E94-F763-4A90-A695-312686E959AC}">
  <dimension ref="A1:E4"/>
  <sheetViews>
    <sheetView workbookViewId="0">
      <selection activeCell="H31" sqref="H31"/>
    </sheetView>
  </sheetViews>
  <sheetFormatPr baseColWidth="10" defaultRowHeight="14.25" x14ac:dyDescent="0.2"/>
  <cols>
    <col min="1" max="1" width="12.75" bestFit="1" customWidth="1"/>
    <col min="2" max="2" width="15.625" bestFit="1" customWidth="1"/>
    <col min="3" max="3" width="17.375" bestFit="1" customWidth="1"/>
    <col min="4" max="4" width="13.875" bestFit="1" customWidth="1"/>
    <col min="5" max="5" width="20.5" bestFit="1" customWidth="1"/>
  </cols>
  <sheetData>
    <row r="1" spans="1:5" x14ac:dyDescent="0.2">
      <c r="A1" s="21" t="s">
        <v>215</v>
      </c>
      <c r="B1" t="s">
        <v>212</v>
      </c>
      <c r="C1" t="s">
        <v>213</v>
      </c>
      <c r="D1" t="s">
        <v>246</v>
      </c>
      <c r="E1" t="s">
        <v>251</v>
      </c>
    </row>
    <row r="2" spans="1:5" x14ac:dyDescent="0.2">
      <c r="A2" s="22">
        <v>2025</v>
      </c>
      <c r="B2" s="20">
        <v>0</v>
      </c>
      <c r="C2" s="3">
        <v>2959871294</v>
      </c>
      <c r="D2" s="25">
        <v>2557727794</v>
      </c>
      <c r="E2" s="25">
        <v>53</v>
      </c>
    </row>
    <row r="3" spans="1:5" x14ac:dyDescent="0.2">
      <c r="A3" s="22">
        <v>2026</v>
      </c>
      <c r="B3" s="20">
        <v>0.23389704221375512</v>
      </c>
      <c r="C3" s="3">
        <v>3652176435</v>
      </c>
      <c r="D3" s="25">
        <v>3188037935</v>
      </c>
      <c r="E3" s="25">
        <v>60</v>
      </c>
    </row>
    <row r="4" spans="1:5" x14ac:dyDescent="0.2">
      <c r="A4" s="22" t="s">
        <v>214</v>
      </c>
      <c r="B4" s="20">
        <v>1.2338970422137552</v>
      </c>
      <c r="C4" s="3">
        <v>6612047729</v>
      </c>
      <c r="D4" s="25">
        <v>5745765729</v>
      </c>
      <c r="E4" s="25">
        <v>113</v>
      </c>
    </row>
  </sheetData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29F1-EB9F-4AFB-91AA-1D77FE66141C}">
  <dimension ref="A1:B26"/>
  <sheetViews>
    <sheetView workbookViewId="0"/>
  </sheetViews>
  <sheetFormatPr baseColWidth="10" defaultRowHeight="14.25" x14ac:dyDescent="0.2"/>
  <cols>
    <col min="1" max="1" width="17.25" bestFit="1" customWidth="1"/>
    <col min="2" max="2" width="17.375" bestFit="1" customWidth="1"/>
  </cols>
  <sheetData>
    <row r="1" spans="1:2" x14ac:dyDescent="0.2">
      <c r="A1" s="21" t="s">
        <v>217</v>
      </c>
      <c r="B1" t="s">
        <v>213</v>
      </c>
    </row>
    <row r="2" spans="1:2" x14ac:dyDescent="0.2">
      <c r="A2" s="22" t="s">
        <v>218</v>
      </c>
      <c r="B2" s="25">
        <v>234770937</v>
      </c>
    </row>
    <row r="3" spans="1:2" x14ac:dyDescent="0.2">
      <c r="A3" s="22" t="s">
        <v>219</v>
      </c>
      <c r="B3" s="25">
        <v>81252347</v>
      </c>
    </row>
    <row r="4" spans="1:2" x14ac:dyDescent="0.2">
      <c r="A4" s="22" t="s">
        <v>220</v>
      </c>
      <c r="B4" s="25">
        <v>192128707</v>
      </c>
    </row>
    <row r="5" spans="1:2" x14ac:dyDescent="0.2">
      <c r="A5" s="22" t="s">
        <v>221</v>
      </c>
      <c r="B5" s="25">
        <v>95808105</v>
      </c>
    </row>
    <row r="6" spans="1:2" x14ac:dyDescent="0.2">
      <c r="A6" s="22" t="s">
        <v>222</v>
      </c>
      <c r="B6" s="25">
        <v>162849254</v>
      </c>
    </row>
    <row r="7" spans="1:2" x14ac:dyDescent="0.2">
      <c r="A7" s="22" t="s">
        <v>223</v>
      </c>
      <c r="B7" s="25">
        <v>274773303</v>
      </c>
    </row>
    <row r="8" spans="1:2" x14ac:dyDescent="0.2">
      <c r="A8" s="22" t="s">
        <v>224</v>
      </c>
      <c r="B8" s="25">
        <v>111076533</v>
      </c>
    </row>
    <row r="9" spans="1:2" x14ac:dyDescent="0.2">
      <c r="A9" s="22" t="s">
        <v>225</v>
      </c>
      <c r="B9" s="25">
        <v>505370748</v>
      </c>
    </row>
    <row r="10" spans="1:2" x14ac:dyDescent="0.2">
      <c r="A10" s="22" t="s">
        <v>226</v>
      </c>
      <c r="B10" s="25">
        <v>17370848</v>
      </c>
    </row>
    <row r="11" spans="1:2" x14ac:dyDescent="0.2">
      <c r="A11" s="22" t="s">
        <v>227</v>
      </c>
      <c r="B11" s="25">
        <v>163828082</v>
      </c>
    </row>
    <row r="12" spans="1:2" x14ac:dyDescent="0.2">
      <c r="A12" s="22" t="s">
        <v>228</v>
      </c>
      <c r="B12" s="25">
        <v>120718811</v>
      </c>
    </row>
    <row r="13" spans="1:2" x14ac:dyDescent="0.2">
      <c r="A13" s="22" t="s">
        <v>229</v>
      </c>
      <c r="B13" s="25">
        <v>271888290</v>
      </c>
    </row>
    <row r="14" spans="1:2" x14ac:dyDescent="0.2">
      <c r="A14" s="22" t="s">
        <v>230</v>
      </c>
      <c r="B14" s="25">
        <v>502249226</v>
      </c>
    </row>
    <row r="15" spans="1:2" x14ac:dyDescent="0.2">
      <c r="A15" s="22" t="s">
        <v>231</v>
      </c>
      <c r="B15" s="25">
        <v>51421391</v>
      </c>
    </row>
    <row r="16" spans="1:2" x14ac:dyDescent="0.2">
      <c r="A16" s="22" t="s">
        <v>232</v>
      </c>
      <c r="B16" s="25">
        <v>184400298</v>
      </c>
    </row>
    <row r="17" spans="1:2" x14ac:dyDescent="0.2">
      <c r="A17" s="22" t="s">
        <v>233</v>
      </c>
      <c r="B17" s="25">
        <v>719615324</v>
      </c>
    </row>
    <row r="18" spans="1:2" x14ac:dyDescent="0.2">
      <c r="A18" s="22" t="s">
        <v>234</v>
      </c>
      <c r="B18" s="25">
        <v>401860858</v>
      </c>
    </row>
    <row r="19" spans="1:2" x14ac:dyDescent="0.2">
      <c r="A19" s="22" t="s">
        <v>235</v>
      </c>
      <c r="B19" s="25">
        <v>519816997</v>
      </c>
    </row>
    <row r="20" spans="1:2" x14ac:dyDescent="0.2">
      <c r="A20" s="22" t="s">
        <v>236</v>
      </c>
      <c r="B20" s="25">
        <v>403051509</v>
      </c>
    </row>
    <row r="21" spans="1:2" x14ac:dyDescent="0.2">
      <c r="A21" s="22" t="s">
        <v>237</v>
      </c>
      <c r="B21" s="25">
        <v>300454990</v>
      </c>
    </row>
    <row r="22" spans="1:2" x14ac:dyDescent="0.2">
      <c r="A22" s="22" t="s">
        <v>238</v>
      </c>
      <c r="B22" s="25">
        <v>409442298</v>
      </c>
    </row>
    <row r="23" spans="1:2" x14ac:dyDescent="0.2">
      <c r="A23" s="22" t="s">
        <v>239</v>
      </c>
      <c r="B23" s="25">
        <v>495782196</v>
      </c>
    </row>
    <row r="24" spans="1:2" x14ac:dyDescent="0.2">
      <c r="A24" s="22" t="s">
        <v>240</v>
      </c>
      <c r="B24" s="25">
        <v>219952015</v>
      </c>
    </row>
    <row r="25" spans="1:2" x14ac:dyDescent="0.2">
      <c r="A25" s="22" t="s">
        <v>241</v>
      </c>
      <c r="B25" s="25">
        <v>172164662</v>
      </c>
    </row>
    <row r="26" spans="1:2" x14ac:dyDescent="0.2">
      <c r="A26" s="22" t="s">
        <v>214</v>
      </c>
      <c r="B26" s="25">
        <v>6612047729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C2571-86E8-4512-A9A5-AD46E7BFC671}">
  <dimension ref="A1:B7"/>
  <sheetViews>
    <sheetView workbookViewId="0">
      <selection activeCell="B1" sqref="B1"/>
    </sheetView>
  </sheetViews>
  <sheetFormatPr baseColWidth="10" defaultRowHeight="14.25" x14ac:dyDescent="0.2"/>
  <cols>
    <col min="1" max="1" width="17.25" bestFit="1" customWidth="1"/>
    <col min="2" max="2" width="20.75" bestFit="1" customWidth="1"/>
  </cols>
  <sheetData>
    <row r="1" spans="1:2" x14ac:dyDescent="0.2">
      <c r="A1" s="21" t="s">
        <v>217</v>
      </c>
      <c r="B1" t="s">
        <v>216</v>
      </c>
    </row>
    <row r="2" spans="1:2" x14ac:dyDescent="0.2">
      <c r="A2" s="22" t="s">
        <v>39</v>
      </c>
      <c r="B2" s="27">
        <v>726407185</v>
      </c>
    </row>
    <row r="3" spans="1:2" x14ac:dyDescent="0.2">
      <c r="A3" s="22" t="s">
        <v>47</v>
      </c>
      <c r="B3" s="27">
        <v>2981024473</v>
      </c>
    </row>
    <row r="4" spans="1:2" x14ac:dyDescent="0.2">
      <c r="A4" s="22" t="s">
        <v>21</v>
      </c>
      <c r="B4" s="27">
        <v>1750738338</v>
      </c>
    </row>
    <row r="5" spans="1:2" x14ac:dyDescent="0.2">
      <c r="A5" s="22" t="s">
        <v>58</v>
      </c>
      <c r="B5" s="27">
        <v>440707877</v>
      </c>
    </row>
    <row r="6" spans="1:2" x14ac:dyDescent="0.2">
      <c r="A6" s="22" t="s">
        <v>43</v>
      </c>
      <c r="B6" s="27">
        <v>713169856</v>
      </c>
    </row>
    <row r="7" spans="1:2" x14ac:dyDescent="0.2">
      <c r="A7" s="22" t="s">
        <v>214</v>
      </c>
      <c r="B7" s="27">
        <v>6612047729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A737E-52FC-4BC1-99B9-1C2140C0B8BB}">
  <dimension ref="A1:D2"/>
  <sheetViews>
    <sheetView workbookViewId="0">
      <selection activeCell="F25" sqref="F25"/>
    </sheetView>
  </sheetViews>
  <sheetFormatPr baseColWidth="10" defaultRowHeight="14.25" x14ac:dyDescent="0.2"/>
  <cols>
    <col min="1" max="1" width="17.375" bestFit="1" customWidth="1"/>
    <col min="2" max="3" width="13.875" bestFit="1" customWidth="1"/>
  </cols>
  <sheetData>
    <row r="1" spans="1:4" x14ac:dyDescent="0.2">
      <c r="A1" t="s">
        <v>213</v>
      </c>
      <c r="B1" t="s">
        <v>242</v>
      </c>
      <c r="D1" t="s">
        <v>243</v>
      </c>
    </row>
    <row r="2" spans="1:4" x14ac:dyDescent="0.2">
      <c r="A2" s="25">
        <v>6612047729</v>
      </c>
      <c r="B2" s="25">
        <v>866282000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6024D-5F4B-40FF-8B3C-207BF7E7CB98}">
  <dimension ref="A1:B7"/>
  <sheetViews>
    <sheetView workbookViewId="0"/>
  </sheetViews>
  <sheetFormatPr baseColWidth="10" defaultRowHeight="14.25" x14ac:dyDescent="0.2"/>
  <cols>
    <col min="1" max="1" width="17.25" bestFit="1" customWidth="1"/>
    <col min="2" max="2" width="20.75" bestFit="1" customWidth="1"/>
  </cols>
  <sheetData>
    <row r="1" spans="1:2" x14ac:dyDescent="0.2">
      <c r="A1" s="21" t="s">
        <v>217</v>
      </c>
      <c r="B1" s="28" t="s">
        <v>216</v>
      </c>
    </row>
    <row r="2" spans="1:2" x14ac:dyDescent="0.2">
      <c r="A2" s="22" t="s">
        <v>39</v>
      </c>
      <c r="B2" s="3">
        <v>726407185</v>
      </c>
    </row>
    <row r="3" spans="1:2" x14ac:dyDescent="0.2">
      <c r="A3" s="22" t="s">
        <v>47</v>
      </c>
      <c r="B3" s="3">
        <v>2981024473</v>
      </c>
    </row>
    <row r="4" spans="1:2" x14ac:dyDescent="0.2">
      <c r="A4" s="22" t="s">
        <v>21</v>
      </c>
      <c r="B4" s="3">
        <v>1750738338</v>
      </c>
    </row>
    <row r="5" spans="1:2" x14ac:dyDescent="0.2">
      <c r="A5" s="22" t="s">
        <v>58</v>
      </c>
      <c r="B5" s="3">
        <v>440707877</v>
      </c>
    </row>
    <row r="6" spans="1:2" x14ac:dyDescent="0.2">
      <c r="A6" s="22" t="s">
        <v>43</v>
      </c>
      <c r="B6" s="3">
        <v>713169856</v>
      </c>
    </row>
    <row r="7" spans="1:2" x14ac:dyDescent="0.2">
      <c r="A7" s="22" t="s">
        <v>214</v>
      </c>
      <c r="B7" s="3">
        <v>6612047729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845D6-C2FC-4828-8280-2C8BD79B8D52}">
  <dimension ref="A1:H16"/>
  <sheetViews>
    <sheetView workbookViewId="0">
      <selection activeCell="N25" sqref="N25"/>
    </sheetView>
  </sheetViews>
  <sheetFormatPr baseColWidth="10" defaultRowHeight="14.25" x14ac:dyDescent="0.2"/>
  <cols>
    <col min="1" max="1" width="12.75" bestFit="1" customWidth="1"/>
    <col min="2" max="2" width="20.75" bestFit="1" customWidth="1"/>
    <col min="3" max="6" width="11.25" bestFit="1" customWidth="1"/>
    <col min="7" max="7" width="13.875" bestFit="1" customWidth="1"/>
    <col min="8" max="8" width="20" customWidth="1"/>
    <col min="9" max="13" width="11.25" bestFit="1" customWidth="1"/>
    <col min="14" max="14" width="12.75" bestFit="1" customWidth="1"/>
    <col min="15" max="16" width="11.25" bestFit="1" customWidth="1"/>
    <col min="17" max="17" width="10.125" bestFit="1" customWidth="1"/>
    <col min="18" max="18" width="11.25" bestFit="1" customWidth="1"/>
    <col min="19" max="19" width="10.125" bestFit="1" customWidth="1"/>
    <col min="20" max="20" width="11.25" bestFit="1" customWidth="1"/>
    <col min="21" max="21" width="10.125" bestFit="1" customWidth="1"/>
    <col min="22" max="25" width="11.25" bestFit="1" customWidth="1"/>
    <col min="26" max="26" width="12.75" bestFit="1" customWidth="1"/>
    <col min="27" max="27" width="11.25" bestFit="1" customWidth="1"/>
    <col min="28" max="29" width="10.125" bestFit="1" customWidth="1"/>
    <col min="30" max="30" width="9" bestFit="1" customWidth="1"/>
    <col min="31" max="31" width="11.25" bestFit="1" customWidth="1"/>
    <col min="32" max="33" width="10.125" bestFit="1" customWidth="1"/>
    <col min="34" max="37" width="11.25" bestFit="1" customWidth="1"/>
    <col min="38" max="38" width="10.125" bestFit="1" customWidth="1"/>
    <col min="39" max="44" width="11.125" bestFit="1" customWidth="1"/>
    <col min="45" max="46" width="10.125" bestFit="1" customWidth="1"/>
    <col min="47" max="47" width="10" bestFit="1" customWidth="1"/>
    <col min="48" max="49" width="11.125" bestFit="1" customWidth="1"/>
    <col min="50" max="50" width="11.25" bestFit="1" customWidth="1"/>
    <col min="51" max="57" width="10.125" bestFit="1" customWidth="1"/>
    <col min="58" max="58" width="9" bestFit="1" customWidth="1"/>
    <col min="59" max="59" width="11.25" bestFit="1" customWidth="1"/>
    <col min="60" max="64" width="10.125" bestFit="1" customWidth="1"/>
    <col min="65" max="65" width="10" bestFit="1" customWidth="1"/>
    <col min="66" max="70" width="10.125" bestFit="1" customWidth="1"/>
    <col min="71" max="71" width="9" bestFit="1" customWidth="1"/>
    <col min="72" max="72" width="11.25" bestFit="1" customWidth="1"/>
    <col min="73" max="73" width="10.125" bestFit="1" customWidth="1"/>
    <col min="74" max="75" width="10" bestFit="1" customWidth="1"/>
    <col min="76" max="76" width="10.125" bestFit="1" customWidth="1"/>
    <col min="77" max="77" width="11.25" bestFit="1" customWidth="1"/>
    <col min="78" max="80" width="10.125" bestFit="1" customWidth="1"/>
    <col min="81" max="81" width="10" bestFit="1" customWidth="1"/>
    <col min="82" max="84" width="10.125" bestFit="1" customWidth="1"/>
    <col min="85" max="85" width="10" bestFit="1" customWidth="1"/>
    <col min="86" max="87" width="11.25" bestFit="1" customWidth="1"/>
    <col min="88" max="88" width="10.125" bestFit="1" customWidth="1"/>
    <col min="89" max="89" width="11.25" bestFit="1" customWidth="1"/>
    <col min="90" max="90" width="10.125" bestFit="1" customWidth="1"/>
    <col min="91" max="95" width="11.125" bestFit="1" customWidth="1"/>
    <col min="96" max="96" width="11.25" bestFit="1" customWidth="1"/>
    <col min="97" max="97" width="11.125" bestFit="1" customWidth="1"/>
    <col min="98" max="98" width="10" bestFit="1" customWidth="1"/>
    <col min="99" max="100" width="10.125" bestFit="1" customWidth="1"/>
    <col min="101" max="105" width="11.125" bestFit="1" customWidth="1"/>
    <col min="106" max="106" width="12.75" bestFit="1" customWidth="1"/>
  </cols>
  <sheetData>
    <row r="1" spans="1:8" x14ac:dyDescent="0.2">
      <c r="A1" s="21" t="s">
        <v>274</v>
      </c>
      <c r="B1" t="s">
        <v>216</v>
      </c>
    </row>
    <row r="2" spans="1:8" ht="15" thickBot="1" x14ac:dyDescent="0.25">
      <c r="A2" s="22" t="s">
        <v>256</v>
      </c>
      <c r="B2" s="27">
        <v>2959871294</v>
      </c>
    </row>
    <row r="3" spans="1:8" ht="30.75" thickBot="1" x14ac:dyDescent="0.25">
      <c r="A3" s="22" t="s">
        <v>259</v>
      </c>
      <c r="B3" s="27"/>
      <c r="F3" s="30" t="s">
        <v>275</v>
      </c>
      <c r="G3" s="30" t="s">
        <v>276</v>
      </c>
      <c r="H3" s="30" t="s">
        <v>277</v>
      </c>
    </row>
    <row r="4" spans="1:8" ht="15" thickBot="1" x14ac:dyDescent="0.25">
      <c r="A4" s="29" t="s">
        <v>271</v>
      </c>
      <c r="B4" s="3">
        <v>505370748</v>
      </c>
      <c r="F4" s="31" t="s">
        <v>278</v>
      </c>
      <c r="G4" s="26">
        <v>505370748</v>
      </c>
      <c r="H4" s="26">
        <v>505370748</v>
      </c>
    </row>
    <row r="5" spans="1:8" ht="15" thickBot="1" x14ac:dyDescent="0.25">
      <c r="A5" s="29" t="s">
        <v>268</v>
      </c>
      <c r="B5" s="3">
        <v>163828082</v>
      </c>
      <c r="F5" s="31" t="s">
        <v>279</v>
      </c>
      <c r="G5" s="26">
        <v>163828082</v>
      </c>
      <c r="H5" s="26">
        <f>G5-G4</f>
        <v>-341542666</v>
      </c>
    </row>
    <row r="6" spans="1:8" ht="15" thickBot="1" x14ac:dyDescent="0.25">
      <c r="A6" s="29" t="s">
        <v>263</v>
      </c>
      <c r="B6" s="3">
        <v>719615324</v>
      </c>
      <c r="F6" s="31" t="s">
        <v>280</v>
      </c>
      <c r="G6" s="26">
        <v>719615324</v>
      </c>
      <c r="H6" s="26">
        <f t="shared" ref="H6:H9" si="0">G6-G5</f>
        <v>555787242</v>
      </c>
    </row>
    <row r="7" spans="1:8" ht="15" thickBot="1" x14ac:dyDescent="0.25">
      <c r="A7" s="29" t="s">
        <v>258</v>
      </c>
      <c r="B7" s="3">
        <v>81252347</v>
      </c>
      <c r="F7" s="31" t="s">
        <v>281</v>
      </c>
      <c r="G7" s="26">
        <v>81252347</v>
      </c>
      <c r="H7" s="26">
        <f t="shared" si="0"/>
        <v>-638362977</v>
      </c>
    </row>
    <row r="8" spans="1:8" ht="15" thickBot="1" x14ac:dyDescent="0.25">
      <c r="A8" s="29" t="s">
        <v>269</v>
      </c>
      <c r="B8" s="3">
        <v>519816997</v>
      </c>
      <c r="F8" s="31" t="s">
        <v>283</v>
      </c>
      <c r="G8" s="26">
        <v>519816997</v>
      </c>
      <c r="H8" s="26">
        <f t="shared" si="0"/>
        <v>438564650</v>
      </c>
    </row>
    <row r="9" spans="1:8" x14ac:dyDescent="0.2">
      <c r="A9" s="29" t="s">
        <v>267</v>
      </c>
      <c r="B9" s="3">
        <v>51421391</v>
      </c>
      <c r="F9" s="32" t="s">
        <v>284</v>
      </c>
      <c r="G9" s="26">
        <v>51421391</v>
      </c>
      <c r="H9" s="26">
        <f t="shared" si="0"/>
        <v>-468395606</v>
      </c>
    </row>
    <row r="10" spans="1:8" x14ac:dyDescent="0.2">
      <c r="A10" s="29" t="s">
        <v>264</v>
      </c>
      <c r="B10" s="3">
        <v>271888290</v>
      </c>
      <c r="F10" s="32" t="s">
        <v>282</v>
      </c>
      <c r="G10" s="33">
        <v>51421391</v>
      </c>
      <c r="H10" s="33">
        <f>SUM(H4:H9)</f>
        <v>51421391</v>
      </c>
    </row>
    <row r="11" spans="1:8" x14ac:dyDescent="0.2">
      <c r="A11" s="29" t="s">
        <v>261</v>
      </c>
      <c r="B11" s="3">
        <v>95808105</v>
      </c>
    </row>
    <row r="12" spans="1:8" x14ac:dyDescent="0.2">
      <c r="A12" s="29" t="s">
        <v>270</v>
      </c>
      <c r="B12" s="3">
        <v>172164662</v>
      </c>
    </row>
    <row r="13" spans="1:8" x14ac:dyDescent="0.2">
      <c r="A13" s="29" t="s">
        <v>272</v>
      </c>
      <c r="B13" s="3">
        <v>495782196</v>
      </c>
    </row>
    <row r="14" spans="1:8" x14ac:dyDescent="0.2">
      <c r="A14" s="29" t="s">
        <v>266</v>
      </c>
      <c r="B14" s="3">
        <v>300454990</v>
      </c>
    </row>
    <row r="15" spans="1:8" x14ac:dyDescent="0.2">
      <c r="A15" s="29" t="s">
        <v>273</v>
      </c>
      <c r="B15" s="3">
        <v>274773303</v>
      </c>
    </row>
    <row r="16" spans="1:8" x14ac:dyDescent="0.2">
      <c r="A16" s="22" t="s">
        <v>214</v>
      </c>
      <c r="B16" s="3">
        <v>6612047729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F1EC-851B-49C3-92A9-61F6F7D6FCE2}">
  <dimension ref="B2"/>
  <sheetViews>
    <sheetView workbookViewId="0">
      <selection activeCell="G20" sqref="G20"/>
    </sheetView>
  </sheetViews>
  <sheetFormatPr baseColWidth="10" defaultRowHeight="14.25" x14ac:dyDescent="0.2"/>
  <sheetData>
    <row r="2" spans="2:2" x14ac:dyDescent="0.2">
      <c r="B2" t="s">
        <v>211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Props1.xml><?xml version="1.0" encoding="utf-8"?>
<ds:datastoreItem xmlns:ds="http://schemas.openxmlformats.org/officeDocument/2006/customXml" ds:itemID="{9454B886-82B8-4016-BE59-590DF4C9DB8E}">
  <ds:schemaRefs/>
</ds:datastoreItem>
</file>

<file path=customXml/itemProps2.xml><?xml version="1.0" encoding="utf-8"?>
<ds:datastoreItem xmlns:ds="http://schemas.openxmlformats.org/officeDocument/2006/customXml" ds:itemID="{C72B7EC8-FAFE-4736-B824-E7CDE7832078}">
  <ds:schemaRefs/>
</ds:datastoreItem>
</file>

<file path=customXml/itemProps3.xml><?xml version="1.0" encoding="utf-8"?>
<ds:datastoreItem xmlns:ds="http://schemas.openxmlformats.org/officeDocument/2006/customXml" ds:itemID="{0B1870B6-1F20-4BFB-BADA-D7B80676B04F}">
  <ds:schemaRefs/>
</ds:datastoreItem>
</file>

<file path=customXml/itemProps4.xml><?xml version="1.0" encoding="utf-8"?>
<ds:datastoreItem xmlns:ds="http://schemas.openxmlformats.org/officeDocument/2006/customXml" ds:itemID="{B13072BD-AABB-4D16-9643-D055A18613D7}">
  <ds:schemaRefs/>
</ds:datastoreItem>
</file>

<file path=customXml/itemProps5.xml><?xml version="1.0" encoding="utf-8"?>
<ds:datastoreItem xmlns:ds="http://schemas.openxmlformats.org/officeDocument/2006/customXml" ds:itemID="{9189CD75-B2F1-4EB7-A8BF-9986BC8722CC}">
  <ds:schemaRefs/>
</ds:datastoreItem>
</file>

<file path=customXml/itemProps6.xml><?xml version="1.0" encoding="utf-8"?>
<ds:datastoreItem xmlns:ds="http://schemas.openxmlformats.org/officeDocument/2006/customXml" ds:itemID="{B694FCF7-27AC-4333-AE22-B3228463E316}">
  <ds:schemaRefs/>
</ds:datastoreItem>
</file>

<file path=customXml/itemProps7.xml><?xml version="1.0" encoding="utf-8"?>
<ds:datastoreItem xmlns:ds="http://schemas.openxmlformats.org/officeDocument/2006/customXml" ds:itemID="{EADFD712-F326-4F6F-A179-6C578B8E1C81}">
  <ds:schemaRefs/>
</ds:datastoreItem>
</file>

<file path=customXml/itemProps8.xml><?xml version="1.0" encoding="utf-8"?>
<ds:datastoreItem xmlns:ds="http://schemas.openxmlformats.org/officeDocument/2006/customXml" ds:itemID="{1CA7122C-4B12-4740-8AF8-4EFA913FCC7F}">
  <ds:schemaRefs/>
</ds:datastoreItem>
</file>

<file path=customXml/itemProps9.xml><?xml version="1.0" encoding="utf-8"?>
<ds:datastoreItem xmlns:ds="http://schemas.openxmlformats.org/officeDocument/2006/customXml" ds:itemID="{6A90D6F6-5DD4-4193-A2AD-301CC1AE2DD7}">
  <ds:schemaRefs/>
</ds:datastoreItem>
</file>

<file path=customXml/itemProps10.xml><?xml version="1.0" encoding="utf-8"?>
<ds:datastoreItem xmlns:ds="http://schemas.openxmlformats.org/officeDocument/2006/customXml" ds:itemID="{E5A42435-01C6-4C19-8215-05B6B65CC565}">
  <ds:schemaRefs/>
</ds:datastoreItem>
</file>

<file path=customXml/itemProps11.xml><?xml version="1.0" encoding="utf-8"?>
<ds:datastoreItem xmlns:ds="http://schemas.openxmlformats.org/officeDocument/2006/customXml" ds:itemID="{0A2B7A70-FEE7-43D9-AF24-C791C586F897}">
  <ds:schemaRefs/>
</ds:datastoreItem>
</file>

<file path=customXml/itemProps12.xml><?xml version="1.0" encoding="utf-8"?>
<ds:datastoreItem xmlns:ds="http://schemas.openxmlformats.org/officeDocument/2006/customXml" ds:itemID="{2923BD2D-4F2C-4BAF-87F5-FDC6527817F3}">
  <ds:schemaRefs/>
</ds:datastoreItem>
</file>

<file path=customXml/itemProps13.xml><?xml version="1.0" encoding="utf-8"?>
<ds:datastoreItem xmlns:ds="http://schemas.openxmlformats.org/officeDocument/2006/customXml" ds:itemID="{6963B634-5A92-4C0C-8B31-E1577C83807E}">
  <ds:schemaRefs/>
</ds:datastoreItem>
</file>

<file path=customXml/itemProps14.xml><?xml version="1.0" encoding="utf-8"?>
<ds:datastoreItem xmlns:ds="http://schemas.openxmlformats.org/officeDocument/2006/customXml" ds:itemID="{D0256CB2-1D2D-484E-8CD7-576434F55A2E}">
  <ds:schemaRefs/>
</ds:datastoreItem>
</file>

<file path=customXml/itemProps15.xml><?xml version="1.0" encoding="utf-8"?>
<ds:datastoreItem xmlns:ds="http://schemas.openxmlformats.org/officeDocument/2006/customXml" ds:itemID="{41FFBEC1-58E6-49DF-8432-6F211743BEF7}">
  <ds:schemaRefs/>
</ds:datastoreItem>
</file>

<file path=customXml/itemProps16.xml><?xml version="1.0" encoding="utf-8"?>
<ds:datastoreItem xmlns:ds="http://schemas.openxmlformats.org/officeDocument/2006/customXml" ds:itemID="{321A0969-1A00-4784-BC57-875CEECBB480}">
  <ds:schemaRefs/>
</ds:datastoreItem>
</file>

<file path=customXml/itemProps17.xml><?xml version="1.0" encoding="utf-8"?>
<ds:datastoreItem xmlns:ds="http://schemas.openxmlformats.org/officeDocument/2006/customXml" ds:itemID="{DF6A1BCC-BC8E-46C6-99D3-1EAFB3BA4F07}">
  <ds:schemaRefs/>
</ds:datastoreItem>
</file>

<file path=customXml/itemProps18.xml><?xml version="1.0" encoding="utf-8"?>
<ds:datastoreItem xmlns:ds="http://schemas.openxmlformats.org/officeDocument/2006/customXml" ds:itemID="{2B840CCE-F37B-4B85-B2CF-FCCA3E6150BF}">
  <ds:schemaRefs/>
</ds:datastoreItem>
</file>

<file path=customXml/itemProps19.xml><?xml version="1.0" encoding="utf-8"?>
<ds:datastoreItem xmlns:ds="http://schemas.openxmlformats.org/officeDocument/2006/customXml" ds:itemID="{D353944A-93C9-4D9A-8A43-71014098168D}">
  <ds:schemaRefs/>
</ds:datastoreItem>
</file>

<file path=customXml/itemProps20.xml><?xml version="1.0" encoding="utf-8"?>
<ds:datastoreItem xmlns:ds="http://schemas.openxmlformats.org/officeDocument/2006/customXml" ds:itemID="{19766852-BE35-4BF4-AFA3-A3467E8F8E76}">
  <ds:schemaRefs/>
</ds:datastoreItem>
</file>

<file path=customXml/itemProps21.xml><?xml version="1.0" encoding="utf-8"?>
<ds:datastoreItem xmlns:ds="http://schemas.openxmlformats.org/officeDocument/2006/customXml" ds:itemID="{FADE59A3-EF1D-45C3-B917-39F275AEDDC5}">
  <ds:schemaRefs/>
</ds:datastoreItem>
</file>

<file path=customXml/itemProps22.xml><?xml version="1.0" encoding="utf-8"?>
<ds:datastoreItem xmlns:ds="http://schemas.openxmlformats.org/officeDocument/2006/customXml" ds:itemID="{40E65F59-83E2-4EBD-A189-0D579715C104}">
  <ds:schemaRefs/>
</ds:datastoreItem>
</file>

<file path=customXml/itemProps23.xml><?xml version="1.0" encoding="utf-8"?>
<ds:datastoreItem xmlns:ds="http://schemas.openxmlformats.org/officeDocument/2006/customXml" ds:itemID="{4171B759-3423-4FBD-BADB-9F025B24A92F}">
  <ds:schemaRefs/>
</ds:datastoreItem>
</file>

<file path=customXml/itemProps24.xml><?xml version="1.0" encoding="utf-8"?>
<ds:datastoreItem xmlns:ds="http://schemas.openxmlformats.org/officeDocument/2006/customXml" ds:itemID="{42A8BDF8-B5CC-486F-9A0E-183B924A6D69}">
  <ds:schemaRefs/>
</ds:datastoreItem>
</file>

<file path=customXml/itemProps25.xml><?xml version="1.0" encoding="utf-8"?>
<ds:datastoreItem xmlns:ds="http://schemas.openxmlformats.org/officeDocument/2006/customXml" ds:itemID="{37643B79-2043-496B-9E59-584E58419492}">
  <ds:schemaRefs/>
</ds:datastoreItem>
</file>

<file path=customXml/itemProps26.xml><?xml version="1.0" encoding="utf-8"?>
<ds:datastoreItem xmlns:ds="http://schemas.openxmlformats.org/officeDocument/2006/customXml" ds:itemID="{42B22728-BB57-47FC-B6AE-AEADD2A61A54}">
  <ds:schemaRefs/>
</ds:datastoreItem>
</file>

<file path=customXml/itemProps27.xml><?xml version="1.0" encoding="utf-8"?>
<ds:datastoreItem xmlns:ds="http://schemas.openxmlformats.org/officeDocument/2006/customXml" ds:itemID="{B90B9359-951A-4198-B888-B436BA77F996}">
  <ds:schemaRefs>
    <ds:schemaRef ds:uri="http://schemas.microsoft.com/DataMashup"/>
  </ds:schemaRefs>
</ds:datastoreItem>
</file>

<file path=customXml/itemProps28.xml><?xml version="1.0" encoding="utf-8"?>
<ds:datastoreItem xmlns:ds="http://schemas.openxmlformats.org/officeDocument/2006/customXml" ds:itemID="{D1AE17C6-A384-4CDC-BAE3-67FE9FE3E711}">
  <ds:schemaRefs/>
</ds:datastoreItem>
</file>

<file path=customXml/itemProps29.xml><?xml version="1.0" encoding="utf-8"?>
<ds:datastoreItem xmlns:ds="http://schemas.openxmlformats.org/officeDocument/2006/customXml" ds:itemID="{A0A6384A-63FF-44FD-8F46-3F392B8BB000}">
  <ds:schemaRefs/>
</ds:datastoreItem>
</file>

<file path=customXml/itemProps30.xml><?xml version="1.0" encoding="utf-8"?>
<ds:datastoreItem xmlns:ds="http://schemas.openxmlformats.org/officeDocument/2006/customXml" ds:itemID="{A89E1C78-8F0E-46C9-848F-FC93CE8F2FFC}">
  <ds:schemaRefs/>
</ds:datastoreItem>
</file>

<file path=customXml/itemProps31.xml><?xml version="1.0" encoding="utf-8"?>
<ds:datastoreItem xmlns:ds="http://schemas.openxmlformats.org/officeDocument/2006/customXml" ds:itemID="{294EA8FB-1D40-4567-92AA-C78B8FBA3983}">
  <ds:schemaRefs/>
</ds:datastoreItem>
</file>

<file path=customXml/itemProps32.xml><?xml version="1.0" encoding="utf-8"?>
<ds:datastoreItem xmlns:ds="http://schemas.openxmlformats.org/officeDocument/2006/customXml" ds:itemID="{E660F55C-F6DF-48FF-A7AA-7465DE653228}">
  <ds:schemaRefs/>
</ds:datastoreItem>
</file>

<file path=customXml/itemProps33.xml><?xml version="1.0" encoding="utf-8"?>
<ds:datastoreItem xmlns:ds="http://schemas.openxmlformats.org/officeDocument/2006/customXml" ds:itemID="{CCCA0662-C511-42E3-AE5F-4271B3EC1F17}">
  <ds:schemaRefs/>
</ds:datastoreItem>
</file>

<file path=customXml/itemProps34.xml><?xml version="1.0" encoding="utf-8"?>
<ds:datastoreItem xmlns:ds="http://schemas.openxmlformats.org/officeDocument/2006/customXml" ds:itemID="{5E18EDAF-AD28-4AEA-934C-A8E0039465DD}">
  <ds:schemaRefs/>
</ds:datastoreItem>
</file>

<file path=customXml/itemProps35.xml><?xml version="1.0" encoding="utf-8"?>
<ds:datastoreItem xmlns:ds="http://schemas.openxmlformats.org/officeDocument/2006/customXml" ds:itemID="{A054BF72-FEA3-4AE4-A07B-4456A84FD7DB}">
  <ds:schemaRefs/>
</ds:datastoreItem>
</file>

<file path=customXml/itemProps36.xml><?xml version="1.0" encoding="utf-8"?>
<ds:datastoreItem xmlns:ds="http://schemas.openxmlformats.org/officeDocument/2006/customXml" ds:itemID="{93B1E39D-5852-49B3-AC49-86588B0AA1FE}">
  <ds:schemaRefs/>
</ds:datastoreItem>
</file>

<file path=customXml/itemProps37.xml><?xml version="1.0" encoding="utf-8"?>
<ds:datastoreItem xmlns:ds="http://schemas.openxmlformats.org/officeDocument/2006/customXml" ds:itemID="{B6AA5C12-5FF1-42E9-88A0-596EEE559FB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6</vt:i4>
      </vt:variant>
    </vt:vector>
  </HeadingPairs>
  <TitlesOfParts>
    <vt:vector size="19" baseType="lpstr">
      <vt:lpstr>EstadisticaDescriptiva</vt:lpstr>
      <vt:lpstr>ResumenEscenarios</vt:lpstr>
      <vt:lpstr>DiagnosticoEscenarios</vt:lpstr>
      <vt:lpstr>Auxiliar</vt:lpstr>
      <vt:lpstr>Dashboard Final</vt:lpstr>
      <vt:lpstr>AnalisisIA</vt:lpstr>
      <vt:lpstr>Auxiliar2</vt:lpstr>
      <vt:lpstr>TD</vt:lpstr>
      <vt:lpstr>TD2</vt:lpstr>
      <vt:lpstr>TD3</vt:lpstr>
      <vt:lpstr>TD4</vt:lpstr>
      <vt:lpstr>Hoja2</vt:lpstr>
      <vt:lpstr>Medidas</vt:lpstr>
      <vt:lpstr>CantidadOperaciones</vt:lpstr>
      <vt:lpstr>Costototal</vt:lpstr>
      <vt:lpstr>MargenPorcentual</vt:lpstr>
      <vt:lpstr>TotalVentas</vt:lpstr>
      <vt:lpstr>VentasTotales</vt:lpstr>
      <vt:lpstr>YoY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Lyko</dc:creator>
  <cp:lastModifiedBy>Martin Lyko</cp:lastModifiedBy>
  <dcterms:created xsi:type="dcterms:W3CDTF">2026-10-01T04:09:05Z</dcterms:created>
  <dcterms:modified xsi:type="dcterms:W3CDTF">2026-10-04T19:30:44Z</dcterms:modified>
</cp:coreProperties>
</file>